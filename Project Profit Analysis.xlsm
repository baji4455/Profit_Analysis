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baji\OneDrive\"/>
    </mc:Choice>
  </mc:AlternateContent>
  <xr:revisionPtr revIDLastSave="0" documentId="8_{88392DA1-AC62-435B-B9AF-B89BB9A74C4D}" xr6:coauthVersionLast="47" xr6:coauthVersionMax="47" xr10:uidLastSave="{00000000-0000-0000-0000-000000000000}"/>
  <bookViews>
    <workbookView xWindow="-108" yWindow="-108" windowWidth="23256" windowHeight="12456" xr2:uid="{5E840E5D-9432-4E06-9D49-E8A4E42F8E79}"/>
  </bookViews>
  <sheets>
    <sheet name="Project Profit Analysis" sheetId="2" r:id="rId1"/>
    <sheet name="Project Profit Analysis 1" sheetId="3" r:id="rId2"/>
  </sheets>
  <definedNames>
    <definedName name="ExternalData_1" localSheetId="0" hidden="1">'Project Profit Analysis'!$A$1:$E$51</definedName>
    <definedName name="ExternalData_1" localSheetId="1" hidden="1">'Project Profit Analysis 1'!$A$1:$E$51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6" i="2" l="1"/>
  <c r="D57" i="3" l="1"/>
  <c r="D56" i="3"/>
  <c r="D5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3E7834-3649-4676-8173-C80FCDC587E8}" keepAlive="1" name="Query - sql 1" description="Connection to the 'sql 1' query in the workbook." type="5" refreshedVersion="8" background="1" saveData="1">
    <dbPr connection="Provider=Microsoft.Mashup.OleDb.1;Data Source=$Workbook$;Location=&quot;sql 1&quot;;Extended Properties=&quot;&quot;" command="SELECT * FROM [sql 1]"/>
  </connection>
  <connection id="2" xr16:uid="{B2238ACF-2F3E-4268-A50D-4FDC9139EE1E}" keepAlive="1" name="Query - sql 1 (2)" description="Connection to the 'sql 1 (2)' query in the workbook." type="5" refreshedVersion="8" background="1" saveData="1">
    <dbPr connection="Provider=Microsoft.Mashup.OleDb.1;Data Source=$Workbook$;Location=&quot;sql 1 (2)&quot;;Extended Properties=&quot;&quot;" command="SELECT * FROM [sql 1 (2)]"/>
  </connection>
</connections>
</file>

<file path=xl/sharedStrings.xml><?xml version="1.0" encoding="utf-8"?>
<sst xmlns="http://schemas.openxmlformats.org/spreadsheetml/2006/main" count="156" uniqueCount="38">
  <si>
    <t>RD_Spend</t>
  </si>
  <si>
    <t>Administration</t>
  </si>
  <si>
    <t>Marketing_Spend</t>
  </si>
  <si>
    <t>State</t>
  </si>
  <si>
    <t>Profit</t>
  </si>
  <si>
    <t>New York</t>
  </si>
  <si>
    <t>California</t>
  </si>
  <si>
    <t>Florida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</si>
  <si>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</si>
  <si>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</si>
  <si>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</si>
  <si>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</si>
  <si>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</si>
  <si>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</si>
  <si>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</si>
  <si>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</si>
  <si>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</si>
  <si>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</si>
  <si>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</si>
  <si>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</si>
  <si>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</si>
  <si>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</si>
  <si>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</si>
  <si>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</si>
  <si>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</si>
  <si>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</si>
  <si>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</si>
  <si>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</si>
  <si>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</si>
  <si>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</si>
  <si>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</si>
  <si>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</si>
  <si>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RESIDUAL OUTPUT</t>
  </si>
  <si>
    <t>Observation</t>
  </si>
  <si>
    <t>Predicted Profit</t>
  </si>
  <si>
    <t>Residuals</t>
  </si>
  <si>
    <t>R&amp;D Spend</t>
  </si>
  <si>
    <t>Marketing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</si>
</sst>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3C4043"/>
      <name val="Book Antiqua"/>
      <family val="1"/>
    </font>
    <font>
      <b/>
      <sz val="12"/>
      <color rgb="FF3C4043"/>
      <name val="Book Antiqua"/>
      <family val="1"/>
    </font>
    <font>
      <b/>
      <sz val="11"/>
      <color rgb="FF3C4043"/>
      <name val="Book Antiqua"/>
      <family val="1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Continuous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6" fillId="0" borderId="2" xfId="0" applyFont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6" fillId="0" borderId="2" xfId="0" applyFont="1" applyBorder="1" applyAlignment="1">
      <alignment horizontal="centerContinuous"/>
    </xf>
    <xf numFmtId="1" fontId="0" fillId="0" borderId="1" xfId="0" applyNumberFormat="1" applyBorder="1"/>
  </cellXfs>
  <cellStyles count="1">
    <cellStyle name="Normal" xfId="0" builtinId="0"/>
  </cellStyles>
  <dxfs count="1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RD_Spend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'Project Profit Analysis'!$A$2:$A$51</c:f>
              <c:numCache>
                <c:formatCode>0</c:formatCode>
                <c:ptCount val="50"/>
                <c:pt idx="0">
                  <c:v>165349.20000000001</c:v>
                </c:pt>
                <c:pt idx="1">
                  <c:v>162597.70000000001</c:v>
                </c:pt>
                <c:pt idx="2">
                  <c:v>153441.51</c:v>
                </c:pt>
                <c:pt idx="3">
                  <c:v>144372.41</c:v>
                </c:pt>
                <c:pt idx="4">
                  <c:v>142107.34</c:v>
                </c:pt>
                <c:pt idx="5">
                  <c:v>131876.9</c:v>
                </c:pt>
                <c:pt idx="6">
                  <c:v>134615.46</c:v>
                </c:pt>
                <c:pt idx="7">
                  <c:v>130298.13</c:v>
                </c:pt>
                <c:pt idx="8">
                  <c:v>120542.52</c:v>
                </c:pt>
                <c:pt idx="9">
                  <c:v>123334.88</c:v>
                </c:pt>
                <c:pt idx="10">
                  <c:v>101913.08</c:v>
                </c:pt>
                <c:pt idx="11">
                  <c:v>100671.96</c:v>
                </c:pt>
                <c:pt idx="12">
                  <c:v>93863.75</c:v>
                </c:pt>
                <c:pt idx="13">
                  <c:v>91992.39</c:v>
                </c:pt>
                <c:pt idx="14">
                  <c:v>119943.24</c:v>
                </c:pt>
                <c:pt idx="15">
                  <c:v>114523.61</c:v>
                </c:pt>
                <c:pt idx="16">
                  <c:v>78013.11</c:v>
                </c:pt>
                <c:pt idx="17">
                  <c:v>94657.16</c:v>
                </c:pt>
                <c:pt idx="18">
                  <c:v>91749.16</c:v>
                </c:pt>
                <c:pt idx="19">
                  <c:v>86419.7</c:v>
                </c:pt>
                <c:pt idx="20">
                  <c:v>76253.86</c:v>
                </c:pt>
                <c:pt idx="21">
                  <c:v>78389.47</c:v>
                </c:pt>
                <c:pt idx="22">
                  <c:v>73994.559999999998</c:v>
                </c:pt>
                <c:pt idx="23">
                  <c:v>67532.53</c:v>
                </c:pt>
                <c:pt idx="24">
                  <c:v>77044.009999999995</c:v>
                </c:pt>
                <c:pt idx="25">
                  <c:v>64664.71</c:v>
                </c:pt>
                <c:pt idx="26">
                  <c:v>75328.87</c:v>
                </c:pt>
                <c:pt idx="27">
                  <c:v>72107.600000000006</c:v>
                </c:pt>
                <c:pt idx="28">
                  <c:v>66051.520000000004</c:v>
                </c:pt>
                <c:pt idx="29">
                  <c:v>65605.48</c:v>
                </c:pt>
                <c:pt idx="30">
                  <c:v>61994.48</c:v>
                </c:pt>
                <c:pt idx="31">
                  <c:v>61136.38</c:v>
                </c:pt>
                <c:pt idx="32">
                  <c:v>63408.86</c:v>
                </c:pt>
                <c:pt idx="33">
                  <c:v>55493.95</c:v>
                </c:pt>
                <c:pt idx="34">
                  <c:v>46426.07</c:v>
                </c:pt>
                <c:pt idx="35">
                  <c:v>46014.02</c:v>
                </c:pt>
                <c:pt idx="36">
                  <c:v>28663.759999999998</c:v>
                </c:pt>
                <c:pt idx="37">
                  <c:v>44069.95</c:v>
                </c:pt>
                <c:pt idx="38">
                  <c:v>20229.59</c:v>
                </c:pt>
                <c:pt idx="39">
                  <c:v>38558.51</c:v>
                </c:pt>
                <c:pt idx="40">
                  <c:v>28754.33</c:v>
                </c:pt>
                <c:pt idx="41">
                  <c:v>27892.92</c:v>
                </c:pt>
                <c:pt idx="42">
                  <c:v>23640.93</c:v>
                </c:pt>
                <c:pt idx="43">
                  <c:v>15505.73</c:v>
                </c:pt>
                <c:pt idx="44">
                  <c:v>22177.74</c:v>
                </c:pt>
                <c:pt idx="45">
                  <c:v>1000.23</c:v>
                </c:pt>
                <c:pt idx="46">
                  <c:v>1315.46</c:v>
                </c:pt>
                <c:pt idx="47">
                  <c:v>0</c:v>
                </c:pt>
                <c:pt idx="48">
                  <c:v>542.04999999999995</c:v>
                </c:pt>
                <c:pt idx="49">
                  <c:v>0</c:v>
                </c:pt>
              </c:numCache>
            </c:numRef>
          </c:xVal>
          <c:yVal>
            <c:numRef>
              <c:f>'Project Profit Analysis'!$K$30:$K$79</c:f>
              <c:numCache>
                <c:formatCode>General</c:formatCode>
                <c:ptCount val="50"/>
                <c:pt idx="0">
                  <c:v>-259.42289007862564</c:v>
                </c:pt>
                <c:pt idx="1">
                  <c:v>2635.2917677349469</c:v>
                </c:pt>
                <c:pt idx="2">
                  <c:v>8903.1109037951101</c:v>
                </c:pt>
                <c:pt idx="3">
                  <c:v>9205.2899744659662</c:v>
                </c:pt>
                <c:pt idx="4">
                  <c:v>-5951.5741832719359</c:v>
                </c:pt>
                <c:pt idx="5">
                  <c:v>-6589.6605712008313</c:v>
                </c:pt>
                <c:pt idx="6">
                  <c:v>-1991.5866686474765</c:v>
                </c:pt>
                <c:pt idx="7">
                  <c:v>-4268.7630478111678</c:v>
                </c:pt>
                <c:pt idx="8">
                  <c:v>470.07030134939123</c:v>
                </c:pt>
                <c:pt idx="9">
                  <c:v>-5124.7241099484672</c:v>
                </c:pt>
                <c:pt idx="10">
                  <c:v>10612.933632855973</c:v>
                </c:pt>
                <c:pt idx="11">
                  <c:v>8685.6870392625278</c:v>
                </c:pt>
                <c:pt idx="12">
                  <c:v>12447.465817573247</c:v>
                </c:pt>
                <c:pt idx="13">
                  <c:v>6819.3583372464054</c:v>
                </c:pt>
                <c:pt idx="14">
                  <c:v>-16945.996334528754</c:v>
                </c:pt>
                <c:pt idx="15">
                  <c:v>-16318.11998519623</c:v>
                </c:pt>
                <c:pt idx="16">
                  <c:v>10077.524598560325</c:v>
                </c:pt>
                <c:pt idx="17">
                  <c:v>-4822.0772078075388</c:v>
                </c:pt>
                <c:pt idx="18">
                  <c:v>-4747.3268058967369</c:v>
                </c:pt>
                <c:pt idx="19">
                  <c:v>7141.6436328394921</c:v>
                </c:pt>
                <c:pt idx="20">
                  <c:v>1834.360769100007</c:v>
                </c:pt>
                <c:pt idx="21">
                  <c:v>-6006.4316402933473</c:v>
                </c:pt>
                <c:pt idx="22">
                  <c:v>-4354.7317169545713</c:v>
                </c:pt>
                <c:pt idx="23">
                  <c:v>-1262.6252212626277</c:v>
                </c:pt>
                <c:pt idx="24">
                  <c:v>-4810.9261131386011</c:v>
                </c:pt>
                <c:pt idx="25">
                  <c:v>5166.6149351945205</c:v>
                </c:pt>
                <c:pt idx="26">
                  <c:v>-4867.0353502996732</c:v>
                </c:pt>
                <c:pt idx="27">
                  <c:v>-9399.7614568408026</c:v>
                </c:pt>
                <c:pt idx="28">
                  <c:v>1622.3539950254781</c:v>
                </c:pt>
                <c:pt idx="29">
                  <c:v>-790.3434517627029</c:v>
                </c:pt>
                <c:pt idx="30">
                  <c:v>485.21706394373905</c:v>
                </c:pt>
                <c:pt idx="31">
                  <c:v>-204.29627574887127</c:v>
                </c:pt>
                <c:pt idx="32">
                  <c:v>-1573.4889854855428</c:v>
                </c:pt>
                <c:pt idx="33">
                  <c:v>-1136.0878046461294</c:v>
                </c:pt>
                <c:pt idx="34">
                  <c:v>7673.5262588356854</c:v>
                </c:pt>
                <c:pt idx="35">
                  <c:v>5967.9104324738</c:v>
                </c:pt>
                <c:pt idx="36">
                  <c:v>15422.015414536028</c:v>
                </c:pt>
                <c:pt idx="37">
                  <c:v>329.60229209622776</c:v>
                </c:pt>
                <c:pt idx="38">
                  <c:v>11531.629351958749</c:v>
                </c:pt>
                <c:pt idx="39">
                  <c:v>-2723.2519769195351</c:v>
                </c:pt>
                <c:pt idx="40">
                  <c:v>3423.9560089526203</c:v>
                </c:pt>
                <c:pt idx="41">
                  <c:v>2996.2737613372301</c:v>
                </c:pt>
                <c:pt idx="42">
                  <c:v>878.07817943979171</c:v>
                </c:pt>
                <c:pt idx="43">
                  <c:v>9591.9400366520567</c:v>
                </c:pt>
                <c:pt idx="44">
                  <c:v>588.97508429668233</c:v>
                </c:pt>
                <c:pt idx="45">
                  <c:v>17275.430313093544</c:v>
                </c:pt>
                <c:pt idx="46">
                  <c:v>-6675.4568526079165</c:v>
                </c:pt>
                <c:pt idx="47">
                  <c:v>-3930.8589833467995</c:v>
                </c:pt>
                <c:pt idx="48">
                  <c:v>-13497.978157627243</c:v>
                </c:pt>
                <c:pt idx="49">
                  <c:v>-33533.734111298676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34-457F-BEDF-46F5C4C42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08655"/>
        <c:axId val="227510575"/>
      </c:scatterChart>
      <c:valAx>
        <c:axId val="227508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RD_Spend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0575"/>
        <c:crosses val="autoZero"/>
        <c:crossBetween val="midCat"/>
      </c:valAx>
      <c:valAx>
        <c:axId val="2275105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5086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Administration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'Project Profit Analysis'!$B$2:$B$51</c:f>
              <c:numCache>
                <c:formatCode>0</c:formatCode>
                <c:ptCount val="50"/>
                <c:pt idx="0">
                  <c:v>136897.79999999999</c:v>
                </c:pt>
                <c:pt idx="1">
                  <c:v>151377.59</c:v>
                </c:pt>
                <c:pt idx="2">
                  <c:v>101145.55</c:v>
                </c:pt>
                <c:pt idx="3">
                  <c:v>118671.85</c:v>
                </c:pt>
                <c:pt idx="4">
                  <c:v>91391.77</c:v>
                </c:pt>
                <c:pt idx="5">
                  <c:v>99814.71</c:v>
                </c:pt>
                <c:pt idx="6">
                  <c:v>147198.87</c:v>
                </c:pt>
                <c:pt idx="7">
                  <c:v>145530.06</c:v>
                </c:pt>
                <c:pt idx="8">
                  <c:v>148718.95000000001</c:v>
                </c:pt>
                <c:pt idx="9">
                  <c:v>108679.17</c:v>
                </c:pt>
                <c:pt idx="10">
                  <c:v>110594.11</c:v>
                </c:pt>
                <c:pt idx="11">
                  <c:v>91790.61</c:v>
                </c:pt>
                <c:pt idx="12">
                  <c:v>127320.38</c:v>
                </c:pt>
                <c:pt idx="13">
                  <c:v>135495.07</c:v>
                </c:pt>
                <c:pt idx="14">
                  <c:v>156547.42000000001</c:v>
                </c:pt>
                <c:pt idx="15">
                  <c:v>122616.84</c:v>
                </c:pt>
                <c:pt idx="16">
                  <c:v>121597.55</c:v>
                </c:pt>
                <c:pt idx="17">
                  <c:v>145077.57999999999</c:v>
                </c:pt>
                <c:pt idx="18">
                  <c:v>114175.79</c:v>
                </c:pt>
                <c:pt idx="19">
                  <c:v>153514.10999999999</c:v>
                </c:pt>
                <c:pt idx="20">
                  <c:v>113867.3</c:v>
                </c:pt>
                <c:pt idx="21">
                  <c:v>153773.43</c:v>
                </c:pt>
                <c:pt idx="22">
                  <c:v>122782.75</c:v>
                </c:pt>
                <c:pt idx="23">
                  <c:v>105751.03</c:v>
                </c:pt>
                <c:pt idx="24">
                  <c:v>99281.34</c:v>
                </c:pt>
                <c:pt idx="25">
                  <c:v>139553.16</c:v>
                </c:pt>
                <c:pt idx="26">
                  <c:v>144135.98000000001</c:v>
                </c:pt>
                <c:pt idx="27">
                  <c:v>127864.55</c:v>
                </c:pt>
                <c:pt idx="28">
                  <c:v>182645.56</c:v>
                </c:pt>
                <c:pt idx="29">
                  <c:v>153032.06</c:v>
                </c:pt>
                <c:pt idx="30">
                  <c:v>115641.28</c:v>
                </c:pt>
                <c:pt idx="31">
                  <c:v>152701.92000000001</c:v>
                </c:pt>
                <c:pt idx="32">
                  <c:v>129219.61</c:v>
                </c:pt>
                <c:pt idx="33">
                  <c:v>103057.49</c:v>
                </c:pt>
                <c:pt idx="34">
                  <c:v>157693.92000000001</c:v>
                </c:pt>
                <c:pt idx="35">
                  <c:v>85047.44</c:v>
                </c:pt>
                <c:pt idx="36">
                  <c:v>127056.21</c:v>
                </c:pt>
                <c:pt idx="37">
                  <c:v>51283.14</c:v>
                </c:pt>
                <c:pt idx="38">
                  <c:v>65947.929999999993</c:v>
                </c:pt>
                <c:pt idx="39">
                  <c:v>82982.09</c:v>
                </c:pt>
                <c:pt idx="40">
                  <c:v>118546.05</c:v>
                </c:pt>
                <c:pt idx="41">
                  <c:v>84710.77</c:v>
                </c:pt>
                <c:pt idx="42">
                  <c:v>96189.63</c:v>
                </c:pt>
                <c:pt idx="43">
                  <c:v>127382.3</c:v>
                </c:pt>
                <c:pt idx="44">
                  <c:v>154806.14000000001</c:v>
                </c:pt>
                <c:pt idx="45">
                  <c:v>124153.04</c:v>
                </c:pt>
                <c:pt idx="46">
                  <c:v>115816.21</c:v>
                </c:pt>
                <c:pt idx="47">
                  <c:v>135426.92000000001</c:v>
                </c:pt>
                <c:pt idx="48">
                  <c:v>51743.15</c:v>
                </c:pt>
                <c:pt idx="49">
                  <c:v>116983.8</c:v>
                </c:pt>
              </c:numCache>
            </c:numRef>
          </c:xVal>
          <c:yVal>
            <c:numRef>
              <c:f>'Project Profit Analysis'!$K$30:$K$79</c:f>
              <c:numCache>
                <c:formatCode>General</c:formatCode>
                <c:ptCount val="50"/>
                <c:pt idx="0">
                  <c:v>-259.42289007862564</c:v>
                </c:pt>
                <c:pt idx="1">
                  <c:v>2635.2917677349469</c:v>
                </c:pt>
                <c:pt idx="2">
                  <c:v>8903.1109037951101</c:v>
                </c:pt>
                <c:pt idx="3">
                  <c:v>9205.2899744659662</c:v>
                </c:pt>
                <c:pt idx="4">
                  <c:v>-5951.5741832719359</c:v>
                </c:pt>
                <c:pt idx="5">
                  <c:v>-6589.6605712008313</c:v>
                </c:pt>
                <c:pt idx="6">
                  <c:v>-1991.5866686474765</c:v>
                </c:pt>
                <c:pt idx="7">
                  <c:v>-4268.7630478111678</c:v>
                </c:pt>
                <c:pt idx="8">
                  <c:v>470.07030134939123</c:v>
                </c:pt>
                <c:pt idx="9">
                  <c:v>-5124.7241099484672</c:v>
                </c:pt>
                <c:pt idx="10">
                  <c:v>10612.933632855973</c:v>
                </c:pt>
                <c:pt idx="11">
                  <c:v>8685.6870392625278</c:v>
                </c:pt>
                <c:pt idx="12">
                  <c:v>12447.465817573247</c:v>
                </c:pt>
                <c:pt idx="13">
                  <c:v>6819.3583372464054</c:v>
                </c:pt>
                <c:pt idx="14">
                  <c:v>-16945.996334528754</c:v>
                </c:pt>
                <c:pt idx="15">
                  <c:v>-16318.11998519623</c:v>
                </c:pt>
                <c:pt idx="16">
                  <c:v>10077.524598560325</c:v>
                </c:pt>
                <c:pt idx="17">
                  <c:v>-4822.0772078075388</c:v>
                </c:pt>
                <c:pt idx="18">
                  <c:v>-4747.3268058967369</c:v>
                </c:pt>
                <c:pt idx="19">
                  <c:v>7141.6436328394921</c:v>
                </c:pt>
                <c:pt idx="20">
                  <c:v>1834.360769100007</c:v>
                </c:pt>
                <c:pt idx="21">
                  <c:v>-6006.4316402933473</c:v>
                </c:pt>
                <c:pt idx="22">
                  <c:v>-4354.7317169545713</c:v>
                </c:pt>
                <c:pt idx="23">
                  <c:v>-1262.6252212626277</c:v>
                </c:pt>
                <c:pt idx="24">
                  <c:v>-4810.9261131386011</c:v>
                </c:pt>
                <c:pt idx="25">
                  <c:v>5166.6149351945205</c:v>
                </c:pt>
                <c:pt idx="26">
                  <c:v>-4867.0353502996732</c:v>
                </c:pt>
                <c:pt idx="27">
                  <c:v>-9399.7614568408026</c:v>
                </c:pt>
                <c:pt idx="28">
                  <c:v>1622.3539950254781</c:v>
                </c:pt>
                <c:pt idx="29">
                  <c:v>-790.3434517627029</c:v>
                </c:pt>
                <c:pt idx="30">
                  <c:v>485.21706394373905</c:v>
                </c:pt>
                <c:pt idx="31">
                  <c:v>-204.29627574887127</c:v>
                </c:pt>
                <c:pt idx="32">
                  <c:v>-1573.4889854855428</c:v>
                </c:pt>
                <c:pt idx="33">
                  <c:v>-1136.0878046461294</c:v>
                </c:pt>
                <c:pt idx="34">
                  <c:v>7673.5262588356854</c:v>
                </c:pt>
                <c:pt idx="35">
                  <c:v>5967.9104324738</c:v>
                </c:pt>
                <c:pt idx="36">
                  <c:v>15422.015414536028</c:v>
                </c:pt>
                <c:pt idx="37">
                  <c:v>329.60229209622776</c:v>
                </c:pt>
                <c:pt idx="38">
                  <c:v>11531.629351958749</c:v>
                </c:pt>
                <c:pt idx="39">
                  <c:v>-2723.2519769195351</c:v>
                </c:pt>
                <c:pt idx="40">
                  <c:v>3423.9560089526203</c:v>
                </c:pt>
                <c:pt idx="41">
                  <c:v>2996.2737613372301</c:v>
                </c:pt>
                <c:pt idx="42">
                  <c:v>878.07817943979171</c:v>
                </c:pt>
                <c:pt idx="43">
                  <c:v>9591.9400366520567</c:v>
                </c:pt>
                <c:pt idx="44">
                  <c:v>588.97508429668233</c:v>
                </c:pt>
                <c:pt idx="45">
                  <c:v>17275.430313093544</c:v>
                </c:pt>
                <c:pt idx="46">
                  <c:v>-6675.4568526079165</c:v>
                </c:pt>
                <c:pt idx="47">
                  <c:v>-3930.8589833467995</c:v>
                </c:pt>
                <c:pt idx="48">
                  <c:v>-13497.978157627243</c:v>
                </c:pt>
                <c:pt idx="49">
                  <c:v>-33533.734111298676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A-4C49-8A5F-C5D757F39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7295"/>
        <c:axId val="227517775"/>
      </c:scatterChart>
      <c:valAx>
        <c:axId val="227517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Administration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7775"/>
        <c:crosses val="autoZero"/>
        <c:crossBetween val="midCat"/>
      </c:valAx>
      <c:valAx>
        <c:axId val="2275177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5172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Marketing_Spend  Residual Plot</a:t>
            </a:r>
          </a:p>
        </c:rich>
      </c:tx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c:spPr>
    </c:title>
    <c:autoTitleDeleted val="0"/>
    <c:plotArea>
      <c:layout>
        <c:manualLayout>
          <c:layoutTarget val="inner"/>
          <c:xMode val="edge"/>
          <c:yMode val="edge"/>
          <c:x val="0.24441272965879265"/>
          <c:y val="0.4461764038754415"/>
          <c:w val="0.68194143700787402"/>
          <c:h val="0.3809495263709320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'Project Profit Analysis'!$C$2:$C$51</c:f>
              <c:numCache>
                <c:formatCode>0</c:formatCode>
                <c:ptCount val="50"/>
                <c:pt idx="0">
                  <c:v>471784.1</c:v>
                </c:pt>
                <c:pt idx="1">
                  <c:v>443898.53</c:v>
                </c:pt>
                <c:pt idx="2">
                  <c:v>407934.54</c:v>
                </c:pt>
                <c:pt idx="3">
                  <c:v>383199.62</c:v>
                </c:pt>
                <c:pt idx="4">
                  <c:v>366168.42</c:v>
                </c:pt>
                <c:pt idx="5">
                  <c:v>362861.36</c:v>
                </c:pt>
                <c:pt idx="6">
                  <c:v>127716.82</c:v>
                </c:pt>
                <c:pt idx="7">
                  <c:v>323876.68</c:v>
                </c:pt>
                <c:pt idx="8">
                  <c:v>311613.28999999998</c:v>
                </c:pt>
                <c:pt idx="9">
                  <c:v>304981.62</c:v>
                </c:pt>
                <c:pt idx="10">
                  <c:v>229160.95</c:v>
                </c:pt>
                <c:pt idx="11">
                  <c:v>249744.55</c:v>
                </c:pt>
                <c:pt idx="12">
                  <c:v>249839.44</c:v>
                </c:pt>
                <c:pt idx="13">
                  <c:v>252664.93</c:v>
                </c:pt>
                <c:pt idx="14">
                  <c:v>256512.92</c:v>
                </c:pt>
                <c:pt idx="15">
                  <c:v>261776.23</c:v>
                </c:pt>
                <c:pt idx="16">
                  <c:v>264346.06</c:v>
                </c:pt>
                <c:pt idx="17">
                  <c:v>282574.31</c:v>
                </c:pt>
                <c:pt idx="18">
                  <c:v>294919.57</c:v>
                </c:pt>
                <c:pt idx="19">
                  <c:v>0</c:v>
                </c:pt>
                <c:pt idx="20">
                  <c:v>298664.46999999997</c:v>
                </c:pt>
                <c:pt idx="21">
                  <c:v>299737.28999999998</c:v>
                </c:pt>
                <c:pt idx="22">
                  <c:v>303319.26</c:v>
                </c:pt>
                <c:pt idx="23">
                  <c:v>304768.73</c:v>
                </c:pt>
                <c:pt idx="24">
                  <c:v>140574.81</c:v>
                </c:pt>
                <c:pt idx="25">
                  <c:v>137962.62</c:v>
                </c:pt>
                <c:pt idx="26">
                  <c:v>134050.07</c:v>
                </c:pt>
                <c:pt idx="27">
                  <c:v>353183.81</c:v>
                </c:pt>
                <c:pt idx="28">
                  <c:v>118148.2</c:v>
                </c:pt>
                <c:pt idx="29">
                  <c:v>107138.38</c:v>
                </c:pt>
                <c:pt idx="30">
                  <c:v>91131.24</c:v>
                </c:pt>
                <c:pt idx="31">
                  <c:v>88218.23</c:v>
                </c:pt>
                <c:pt idx="32">
                  <c:v>46085.25</c:v>
                </c:pt>
                <c:pt idx="33">
                  <c:v>214634.81</c:v>
                </c:pt>
                <c:pt idx="34">
                  <c:v>210797.67</c:v>
                </c:pt>
                <c:pt idx="35">
                  <c:v>205517.64</c:v>
                </c:pt>
                <c:pt idx="36">
                  <c:v>201126.82</c:v>
                </c:pt>
                <c:pt idx="37">
                  <c:v>197029.42</c:v>
                </c:pt>
                <c:pt idx="38">
                  <c:v>185265.1</c:v>
                </c:pt>
                <c:pt idx="39">
                  <c:v>174999.3</c:v>
                </c:pt>
                <c:pt idx="40">
                  <c:v>172795.67</c:v>
                </c:pt>
                <c:pt idx="41">
                  <c:v>164470.71</c:v>
                </c:pt>
                <c:pt idx="42">
                  <c:v>148001.10999999999</c:v>
                </c:pt>
                <c:pt idx="43">
                  <c:v>35534.17</c:v>
                </c:pt>
                <c:pt idx="44">
                  <c:v>28334.720000000001</c:v>
                </c:pt>
                <c:pt idx="45">
                  <c:v>1903.93</c:v>
                </c:pt>
                <c:pt idx="46">
                  <c:v>297114.46000000002</c:v>
                </c:pt>
                <c:pt idx="47">
                  <c:v>0</c:v>
                </c:pt>
                <c:pt idx="48">
                  <c:v>0</c:v>
                </c:pt>
                <c:pt idx="49">
                  <c:v>45173.06</c:v>
                </c:pt>
              </c:numCache>
            </c:numRef>
          </c:xVal>
          <c:yVal>
            <c:numRef>
              <c:f>'Project Profit Analysis'!$K$30:$K$79</c:f>
              <c:numCache>
                <c:formatCode>General</c:formatCode>
                <c:ptCount val="50"/>
                <c:pt idx="0">
                  <c:v>-259.42289007862564</c:v>
                </c:pt>
                <c:pt idx="1">
                  <c:v>2635.2917677349469</c:v>
                </c:pt>
                <c:pt idx="2">
                  <c:v>8903.1109037951101</c:v>
                </c:pt>
                <c:pt idx="3">
                  <c:v>9205.2899744659662</c:v>
                </c:pt>
                <c:pt idx="4">
                  <c:v>-5951.5741832719359</c:v>
                </c:pt>
                <c:pt idx="5">
                  <c:v>-6589.6605712008313</c:v>
                </c:pt>
                <c:pt idx="6">
                  <c:v>-1991.5866686474765</c:v>
                </c:pt>
                <c:pt idx="7">
                  <c:v>-4268.7630478111678</c:v>
                </c:pt>
                <c:pt idx="8">
                  <c:v>470.07030134939123</c:v>
                </c:pt>
                <c:pt idx="9">
                  <c:v>-5124.7241099484672</c:v>
                </c:pt>
                <c:pt idx="10">
                  <c:v>10612.933632855973</c:v>
                </c:pt>
                <c:pt idx="11">
                  <c:v>8685.6870392625278</c:v>
                </c:pt>
                <c:pt idx="12">
                  <c:v>12447.465817573247</c:v>
                </c:pt>
                <c:pt idx="13">
                  <c:v>6819.3583372464054</c:v>
                </c:pt>
                <c:pt idx="14">
                  <c:v>-16945.996334528754</c:v>
                </c:pt>
                <c:pt idx="15">
                  <c:v>-16318.11998519623</c:v>
                </c:pt>
                <c:pt idx="16">
                  <c:v>10077.524598560325</c:v>
                </c:pt>
                <c:pt idx="17">
                  <c:v>-4822.0772078075388</c:v>
                </c:pt>
                <c:pt idx="18">
                  <c:v>-4747.3268058967369</c:v>
                </c:pt>
                <c:pt idx="19">
                  <c:v>7141.6436328394921</c:v>
                </c:pt>
                <c:pt idx="20">
                  <c:v>1834.360769100007</c:v>
                </c:pt>
                <c:pt idx="21">
                  <c:v>-6006.4316402933473</c:v>
                </c:pt>
                <c:pt idx="22">
                  <c:v>-4354.7317169545713</c:v>
                </c:pt>
                <c:pt idx="23">
                  <c:v>-1262.6252212626277</c:v>
                </c:pt>
                <c:pt idx="24">
                  <c:v>-4810.9261131386011</c:v>
                </c:pt>
                <c:pt idx="25">
                  <c:v>5166.6149351945205</c:v>
                </c:pt>
                <c:pt idx="26">
                  <c:v>-4867.0353502996732</c:v>
                </c:pt>
                <c:pt idx="27">
                  <c:v>-9399.7614568408026</c:v>
                </c:pt>
                <c:pt idx="28">
                  <c:v>1622.3539950254781</c:v>
                </c:pt>
                <c:pt idx="29">
                  <c:v>-790.3434517627029</c:v>
                </c:pt>
                <c:pt idx="30">
                  <c:v>485.21706394373905</c:v>
                </c:pt>
                <c:pt idx="31">
                  <c:v>-204.29627574887127</c:v>
                </c:pt>
                <c:pt idx="32">
                  <c:v>-1573.4889854855428</c:v>
                </c:pt>
                <c:pt idx="33">
                  <c:v>-1136.0878046461294</c:v>
                </c:pt>
                <c:pt idx="34">
                  <c:v>7673.5262588356854</c:v>
                </c:pt>
                <c:pt idx="35">
                  <c:v>5967.9104324738</c:v>
                </c:pt>
                <c:pt idx="36">
                  <c:v>15422.015414536028</c:v>
                </c:pt>
                <c:pt idx="37">
                  <c:v>329.60229209622776</c:v>
                </c:pt>
                <c:pt idx="38">
                  <c:v>11531.629351958749</c:v>
                </c:pt>
                <c:pt idx="39">
                  <c:v>-2723.2519769195351</c:v>
                </c:pt>
                <c:pt idx="40">
                  <c:v>3423.9560089526203</c:v>
                </c:pt>
                <c:pt idx="41">
                  <c:v>2996.2737613372301</c:v>
                </c:pt>
                <c:pt idx="42">
                  <c:v>878.07817943979171</c:v>
                </c:pt>
                <c:pt idx="43">
                  <c:v>9591.9400366520567</c:v>
                </c:pt>
                <c:pt idx="44">
                  <c:v>588.97508429668233</c:v>
                </c:pt>
                <c:pt idx="45">
                  <c:v>17275.430313093544</c:v>
                </c:pt>
                <c:pt idx="46">
                  <c:v>-6675.4568526079165</c:v>
                </c:pt>
                <c:pt idx="47">
                  <c:v>-3930.8589833467995</c:v>
                </c:pt>
                <c:pt idx="48">
                  <c:v>-13497.978157627243</c:v>
                </c:pt>
                <c:pt idx="49">
                  <c:v>-33533.734111298676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8B-44EE-BA19-B26B37697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3455"/>
        <c:axId val="227513935"/>
      </c:scatterChart>
      <c:valAx>
        <c:axId val="22751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Marketing_Spend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3935"/>
        <c:crosses val="autoZero"/>
        <c:crossBetween val="midCat"/>
      </c:valAx>
      <c:valAx>
        <c:axId val="2275139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5134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RD_Spend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Profit</c:v>
          </c:tx>
          <c:spPr>
            <a:ln w="19050">
              <a:noFill/>
            </a:ln>
          </c:spPr>
          <c:xVal>
            <c:numRef>
              <c:f>'Project Profit Analysis'!$A$2:$A$51</c:f>
              <c:numCache>
                <c:formatCode>0</c:formatCode>
                <c:ptCount val="50"/>
                <c:pt idx="0">
                  <c:v>165349.20000000001</c:v>
                </c:pt>
                <c:pt idx="1">
                  <c:v>162597.70000000001</c:v>
                </c:pt>
                <c:pt idx="2">
                  <c:v>153441.51</c:v>
                </c:pt>
                <c:pt idx="3">
                  <c:v>144372.41</c:v>
                </c:pt>
                <c:pt idx="4">
                  <c:v>142107.34</c:v>
                </c:pt>
                <c:pt idx="5">
                  <c:v>131876.9</c:v>
                </c:pt>
                <c:pt idx="6">
                  <c:v>134615.46</c:v>
                </c:pt>
                <c:pt idx="7">
                  <c:v>130298.13</c:v>
                </c:pt>
                <c:pt idx="8">
                  <c:v>120542.52</c:v>
                </c:pt>
                <c:pt idx="9">
                  <c:v>123334.88</c:v>
                </c:pt>
                <c:pt idx="10">
                  <c:v>101913.08</c:v>
                </c:pt>
                <c:pt idx="11">
                  <c:v>100671.96</c:v>
                </c:pt>
                <c:pt idx="12">
                  <c:v>93863.75</c:v>
                </c:pt>
                <c:pt idx="13">
                  <c:v>91992.39</c:v>
                </c:pt>
                <c:pt idx="14">
                  <c:v>119943.24</c:v>
                </c:pt>
                <c:pt idx="15">
                  <c:v>114523.61</c:v>
                </c:pt>
                <c:pt idx="16">
                  <c:v>78013.11</c:v>
                </c:pt>
                <c:pt idx="17">
                  <c:v>94657.16</c:v>
                </c:pt>
                <c:pt idx="18">
                  <c:v>91749.16</c:v>
                </c:pt>
                <c:pt idx="19">
                  <c:v>86419.7</c:v>
                </c:pt>
                <c:pt idx="20">
                  <c:v>76253.86</c:v>
                </c:pt>
                <c:pt idx="21">
                  <c:v>78389.47</c:v>
                </c:pt>
                <c:pt idx="22">
                  <c:v>73994.559999999998</c:v>
                </c:pt>
                <c:pt idx="23">
                  <c:v>67532.53</c:v>
                </c:pt>
                <c:pt idx="24">
                  <c:v>77044.009999999995</c:v>
                </c:pt>
                <c:pt idx="25">
                  <c:v>64664.71</c:v>
                </c:pt>
                <c:pt idx="26">
                  <c:v>75328.87</c:v>
                </c:pt>
                <c:pt idx="27">
                  <c:v>72107.600000000006</c:v>
                </c:pt>
                <c:pt idx="28">
                  <c:v>66051.520000000004</c:v>
                </c:pt>
                <c:pt idx="29">
                  <c:v>65605.48</c:v>
                </c:pt>
                <c:pt idx="30">
                  <c:v>61994.48</c:v>
                </c:pt>
                <c:pt idx="31">
                  <c:v>61136.38</c:v>
                </c:pt>
                <c:pt idx="32">
                  <c:v>63408.86</c:v>
                </c:pt>
                <c:pt idx="33">
                  <c:v>55493.95</c:v>
                </c:pt>
                <c:pt idx="34">
                  <c:v>46426.07</c:v>
                </c:pt>
                <c:pt idx="35">
                  <c:v>46014.02</c:v>
                </c:pt>
                <c:pt idx="36">
                  <c:v>28663.759999999998</c:v>
                </c:pt>
                <c:pt idx="37">
                  <c:v>44069.95</c:v>
                </c:pt>
                <c:pt idx="38">
                  <c:v>20229.59</c:v>
                </c:pt>
                <c:pt idx="39">
                  <c:v>38558.51</c:v>
                </c:pt>
                <c:pt idx="40">
                  <c:v>28754.33</c:v>
                </c:pt>
                <c:pt idx="41">
                  <c:v>27892.92</c:v>
                </c:pt>
                <c:pt idx="42">
                  <c:v>23640.93</c:v>
                </c:pt>
                <c:pt idx="43">
                  <c:v>15505.73</c:v>
                </c:pt>
                <c:pt idx="44">
                  <c:v>22177.74</c:v>
                </c:pt>
                <c:pt idx="45">
                  <c:v>1000.23</c:v>
                </c:pt>
                <c:pt idx="46">
                  <c:v>1315.46</c:v>
                </c:pt>
                <c:pt idx="47">
                  <c:v>0</c:v>
                </c:pt>
                <c:pt idx="48">
                  <c:v>542.04999999999995</c:v>
                </c:pt>
                <c:pt idx="49">
                  <c:v>0</c:v>
                </c:pt>
              </c:numCache>
            </c:numRef>
          </c:xVal>
          <c:yVal>
            <c:numRef>
              <c:f>'Project Profit Analysis'!$E$2:$E$51</c:f>
              <c:numCache>
                <c:formatCode>0</c:formatCode>
                <c:ptCount val="50"/>
                <c:pt idx="0">
                  <c:v>192261.83</c:v>
                </c:pt>
                <c:pt idx="1">
                  <c:v>191792.06</c:v>
                </c:pt>
                <c:pt idx="2">
                  <c:v>191050.39</c:v>
                </c:pt>
                <c:pt idx="3">
                  <c:v>182901.99</c:v>
                </c:pt>
                <c:pt idx="4">
                  <c:v>166187.94</c:v>
                </c:pt>
                <c:pt idx="5">
                  <c:v>156991.12</c:v>
                </c:pt>
                <c:pt idx="6">
                  <c:v>156122.51</c:v>
                </c:pt>
                <c:pt idx="7">
                  <c:v>155752.6</c:v>
                </c:pt>
                <c:pt idx="8">
                  <c:v>152211.76999999999</c:v>
                </c:pt>
                <c:pt idx="9">
                  <c:v>149759.96</c:v>
                </c:pt>
                <c:pt idx="10">
                  <c:v>146121.95000000001</c:v>
                </c:pt>
                <c:pt idx="11">
                  <c:v>144259.4</c:v>
                </c:pt>
                <c:pt idx="12">
                  <c:v>141585.51999999999</c:v>
                </c:pt>
                <c:pt idx="13">
                  <c:v>134307.35</c:v>
                </c:pt>
                <c:pt idx="14">
                  <c:v>132602.65</c:v>
                </c:pt>
                <c:pt idx="15">
                  <c:v>129917.04</c:v>
                </c:pt>
                <c:pt idx="16">
                  <c:v>126992.93</c:v>
                </c:pt>
                <c:pt idx="17">
                  <c:v>125370.37</c:v>
                </c:pt>
                <c:pt idx="18">
                  <c:v>124266.9</c:v>
                </c:pt>
                <c:pt idx="19">
                  <c:v>122776.86</c:v>
                </c:pt>
                <c:pt idx="20">
                  <c:v>118474.03</c:v>
                </c:pt>
                <c:pt idx="21">
                  <c:v>111313.02</c:v>
                </c:pt>
                <c:pt idx="22">
                  <c:v>110352.25</c:v>
                </c:pt>
                <c:pt idx="23">
                  <c:v>108733.99</c:v>
                </c:pt>
                <c:pt idx="24">
                  <c:v>108552.04</c:v>
                </c:pt>
                <c:pt idx="25">
                  <c:v>107404.34</c:v>
                </c:pt>
                <c:pt idx="26">
                  <c:v>105733.54</c:v>
                </c:pt>
                <c:pt idx="27">
                  <c:v>105008.31</c:v>
                </c:pt>
                <c:pt idx="28">
                  <c:v>103282.38</c:v>
                </c:pt>
                <c:pt idx="29">
                  <c:v>101004.64</c:v>
                </c:pt>
                <c:pt idx="30">
                  <c:v>99937.59</c:v>
                </c:pt>
                <c:pt idx="31">
                  <c:v>97483.56</c:v>
                </c:pt>
                <c:pt idx="32">
                  <c:v>97427.839999999997</c:v>
                </c:pt>
                <c:pt idx="33">
                  <c:v>96778.92</c:v>
                </c:pt>
                <c:pt idx="34">
                  <c:v>96712.8</c:v>
                </c:pt>
                <c:pt idx="35">
                  <c:v>96479.51</c:v>
                </c:pt>
                <c:pt idx="36">
                  <c:v>90708.19</c:v>
                </c:pt>
                <c:pt idx="37">
                  <c:v>89949.14</c:v>
                </c:pt>
                <c:pt idx="38">
                  <c:v>81229.06</c:v>
                </c:pt>
                <c:pt idx="39">
                  <c:v>81005.759999999995</c:v>
                </c:pt>
                <c:pt idx="40">
                  <c:v>78239.91</c:v>
                </c:pt>
                <c:pt idx="41">
                  <c:v>77798.83</c:v>
                </c:pt>
                <c:pt idx="42">
                  <c:v>71498.490000000005</c:v>
                </c:pt>
                <c:pt idx="43">
                  <c:v>69758.98</c:v>
                </c:pt>
                <c:pt idx="44">
                  <c:v>65200.33</c:v>
                </c:pt>
                <c:pt idx="45">
                  <c:v>64926.080000000002</c:v>
                </c:pt>
                <c:pt idx="46">
                  <c:v>49490.75</c:v>
                </c:pt>
                <c:pt idx="47">
                  <c:v>42559.73</c:v>
                </c:pt>
                <c:pt idx="48">
                  <c:v>35673.410000000003</c:v>
                </c:pt>
                <c:pt idx="49">
                  <c:v>14681.4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0B-4949-86F6-FDDB1482ACBE}"/>
            </c:ext>
          </c:extLst>
        </c:ser>
        <c:ser>
          <c:idx val="1"/>
          <c:order val="1"/>
          <c:tx>
            <c:v>Predicted Profit</c:v>
          </c:tx>
          <c:spPr>
            <a:ln w="19050">
              <a:noFill/>
            </a:ln>
          </c:spPr>
          <c:xVal>
            <c:numRef>
              <c:f>'Project Profit Analysis'!$A$2:$A$51</c:f>
              <c:numCache>
                <c:formatCode>0</c:formatCode>
                <c:ptCount val="50"/>
                <c:pt idx="0">
                  <c:v>165349.20000000001</c:v>
                </c:pt>
                <c:pt idx="1">
                  <c:v>162597.70000000001</c:v>
                </c:pt>
                <c:pt idx="2">
                  <c:v>153441.51</c:v>
                </c:pt>
                <c:pt idx="3">
                  <c:v>144372.41</c:v>
                </c:pt>
                <c:pt idx="4">
                  <c:v>142107.34</c:v>
                </c:pt>
                <c:pt idx="5">
                  <c:v>131876.9</c:v>
                </c:pt>
                <c:pt idx="6">
                  <c:v>134615.46</c:v>
                </c:pt>
                <c:pt idx="7">
                  <c:v>130298.13</c:v>
                </c:pt>
                <c:pt idx="8">
                  <c:v>120542.52</c:v>
                </c:pt>
                <c:pt idx="9">
                  <c:v>123334.88</c:v>
                </c:pt>
                <c:pt idx="10">
                  <c:v>101913.08</c:v>
                </c:pt>
                <c:pt idx="11">
                  <c:v>100671.96</c:v>
                </c:pt>
                <c:pt idx="12">
                  <c:v>93863.75</c:v>
                </c:pt>
                <c:pt idx="13">
                  <c:v>91992.39</c:v>
                </c:pt>
                <c:pt idx="14">
                  <c:v>119943.24</c:v>
                </c:pt>
                <c:pt idx="15">
                  <c:v>114523.61</c:v>
                </c:pt>
                <c:pt idx="16">
                  <c:v>78013.11</c:v>
                </c:pt>
                <c:pt idx="17">
                  <c:v>94657.16</c:v>
                </c:pt>
                <c:pt idx="18">
                  <c:v>91749.16</c:v>
                </c:pt>
                <c:pt idx="19">
                  <c:v>86419.7</c:v>
                </c:pt>
                <c:pt idx="20">
                  <c:v>76253.86</c:v>
                </c:pt>
                <c:pt idx="21">
                  <c:v>78389.47</c:v>
                </c:pt>
                <c:pt idx="22">
                  <c:v>73994.559999999998</c:v>
                </c:pt>
                <c:pt idx="23">
                  <c:v>67532.53</c:v>
                </c:pt>
                <c:pt idx="24">
                  <c:v>77044.009999999995</c:v>
                </c:pt>
                <c:pt idx="25">
                  <c:v>64664.71</c:v>
                </c:pt>
                <c:pt idx="26">
                  <c:v>75328.87</c:v>
                </c:pt>
                <c:pt idx="27">
                  <c:v>72107.600000000006</c:v>
                </c:pt>
                <c:pt idx="28">
                  <c:v>66051.520000000004</c:v>
                </c:pt>
                <c:pt idx="29">
                  <c:v>65605.48</c:v>
                </c:pt>
                <c:pt idx="30">
                  <c:v>61994.48</c:v>
                </c:pt>
                <c:pt idx="31">
                  <c:v>61136.38</c:v>
                </c:pt>
                <c:pt idx="32">
                  <c:v>63408.86</c:v>
                </c:pt>
                <c:pt idx="33">
                  <c:v>55493.95</c:v>
                </c:pt>
                <c:pt idx="34">
                  <c:v>46426.07</c:v>
                </c:pt>
                <c:pt idx="35">
                  <c:v>46014.02</c:v>
                </c:pt>
                <c:pt idx="36">
                  <c:v>28663.759999999998</c:v>
                </c:pt>
                <c:pt idx="37">
                  <c:v>44069.95</c:v>
                </c:pt>
                <c:pt idx="38">
                  <c:v>20229.59</c:v>
                </c:pt>
                <c:pt idx="39">
                  <c:v>38558.51</c:v>
                </c:pt>
                <c:pt idx="40">
                  <c:v>28754.33</c:v>
                </c:pt>
                <c:pt idx="41">
                  <c:v>27892.92</c:v>
                </c:pt>
                <c:pt idx="42">
                  <c:v>23640.93</c:v>
                </c:pt>
                <c:pt idx="43">
                  <c:v>15505.73</c:v>
                </c:pt>
                <c:pt idx="44">
                  <c:v>22177.74</c:v>
                </c:pt>
                <c:pt idx="45">
                  <c:v>1000.23</c:v>
                </c:pt>
                <c:pt idx="46">
                  <c:v>1315.46</c:v>
                </c:pt>
                <c:pt idx="47">
                  <c:v>0</c:v>
                </c:pt>
                <c:pt idx="48">
                  <c:v>542.04999999999995</c:v>
                </c:pt>
                <c:pt idx="49">
                  <c:v>0</c:v>
                </c:pt>
              </c:numCache>
            </c:numRef>
          </c:xVal>
          <c:yVal>
            <c:numRef>
              <c:f>'Project Profit Analysis'!$J$30:$J$79</c:f>
              <c:numCache>
                <c:formatCode>General</c:formatCode>
                <c:ptCount val="50"/>
                <c:pt idx="0">
                  <c:v>192521.25289007861</c:v>
                </c:pt>
                <c:pt idx="1">
                  <c:v>189156.76823226505</c:v>
                </c:pt>
                <c:pt idx="2">
                  <c:v>182147.2790962049</c:v>
                </c:pt>
                <c:pt idx="3">
                  <c:v>173696.70002553402</c:v>
                </c:pt>
                <c:pt idx="4">
                  <c:v>172139.51418327194</c:v>
                </c:pt>
                <c:pt idx="5">
                  <c:v>163580.78057120083</c:v>
                </c:pt>
                <c:pt idx="6">
                  <c:v>158114.09666864749</c:v>
                </c:pt>
                <c:pt idx="7">
                  <c:v>160021.36304781117</c:v>
                </c:pt>
                <c:pt idx="8">
                  <c:v>151741.6996986506</c:v>
                </c:pt>
                <c:pt idx="9">
                  <c:v>154884.68410994846</c:v>
                </c:pt>
                <c:pt idx="10">
                  <c:v>135509.01636714404</c:v>
                </c:pt>
                <c:pt idx="11">
                  <c:v>135573.71296073747</c:v>
                </c:pt>
                <c:pt idx="12">
                  <c:v>129138.05418242674</c:v>
                </c:pt>
                <c:pt idx="13">
                  <c:v>127487.9916627536</c:v>
                </c:pt>
                <c:pt idx="14">
                  <c:v>149548.64633452875</c:v>
                </c:pt>
                <c:pt idx="15">
                  <c:v>146235.15998519622</c:v>
                </c:pt>
                <c:pt idx="16">
                  <c:v>116915.40540143967</c:v>
                </c:pt>
                <c:pt idx="17">
                  <c:v>130192.44720780753</c:v>
                </c:pt>
                <c:pt idx="18">
                  <c:v>129014.22680589673</c:v>
                </c:pt>
                <c:pt idx="19">
                  <c:v>115635.21636716051</c:v>
                </c:pt>
                <c:pt idx="20">
                  <c:v>116639.66923089999</c:v>
                </c:pt>
                <c:pt idx="21">
                  <c:v>117319.45164029335</c:v>
                </c:pt>
                <c:pt idx="22">
                  <c:v>114706.98171695457</c:v>
                </c:pt>
                <c:pt idx="23">
                  <c:v>109996.61522126263</c:v>
                </c:pt>
                <c:pt idx="24">
                  <c:v>113362.96611313859</c:v>
                </c:pt>
                <c:pt idx="25">
                  <c:v>102237.72506480548</c:v>
                </c:pt>
                <c:pt idx="26">
                  <c:v>110600.57535029967</c:v>
                </c:pt>
                <c:pt idx="27">
                  <c:v>114408.0714568408</c:v>
                </c:pt>
                <c:pt idx="28">
                  <c:v>101660.02600497453</c:v>
                </c:pt>
                <c:pt idx="29">
                  <c:v>101794.9834517627</c:v>
                </c:pt>
                <c:pt idx="30">
                  <c:v>99452.372936056257</c:v>
                </c:pt>
                <c:pt idx="31">
                  <c:v>97687.856275748869</c:v>
                </c:pt>
                <c:pt idx="32">
                  <c:v>99001.328985485539</c:v>
                </c:pt>
                <c:pt idx="33">
                  <c:v>97915.007804646128</c:v>
                </c:pt>
                <c:pt idx="34">
                  <c:v>89039.273741164317</c:v>
                </c:pt>
                <c:pt idx="35">
                  <c:v>90511.599567526195</c:v>
                </c:pt>
                <c:pt idx="36">
                  <c:v>75286.174585463974</c:v>
                </c:pt>
                <c:pt idx="37">
                  <c:v>89619.537707903772</c:v>
                </c:pt>
                <c:pt idx="38">
                  <c:v>69697.430648041249</c:v>
                </c:pt>
                <c:pt idx="39">
                  <c:v>83729.01197691953</c:v>
                </c:pt>
                <c:pt idx="40">
                  <c:v>74815.953991047383</c:v>
                </c:pt>
                <c:pt idx="41">
                  <c:v>74802.556238662772</c:v>
                </c:pt>
                <c:pt idx="42">
                  <c:v>70620.411820560214</c:v>
                </c:pt>
                <c:pt idx="43">
                  <c:v>60167.039963347939</c:v>
                </c:pt>
                <c:pt idx="44">
                  <c:v>64611.354915703319</c:v>
                </c:pt>
                <c:pt idx="45">
                  <c:v>47650.649686906458</c:v>
                </c:pt>
                <c:pt idx="46">
                  <c:v>56166.206852607917</c:v>
                </c:pt>
                <c:pt idx="47">
                  <c:v>46490.588983346803</c:v>
                </c:pt>
                <c:pt idx="48">
                  <c:v>49171.388157627247</c:v>
                </c:pt>
                <c:pt idx="49">
                  <c:v>48215.134111298677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0B-4949-86F6-FDDB1482A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7295"/>
        <c:axId val="227513455"/>
      </c:scatterChart>
      <c:valAx>
        <c:axId val="227517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RD_Spend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3455"/>
        <c:crosses val="autoZero"/>
        <c:crossBetween val="midCat"/>
      </c:valAx>
      <c:valAx>
        <c:axId val="2275134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Profit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2751729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Administration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Profit</c:v>
          </c:tx>
          <c:spPr>
            <a:ln w="19050">
              <a:noFill/>
            </a:ln>
          </c:spPr>
          <c:xVal>
            <c:numRef>
              <c:f>'Project Profit Analysis'!$B$2:$B$51</c:f>
              <c:numCache>
                <c:formatCode>0</c:formatCode>
                <c:ptCount val="50"/>
                <c:pt idx="0">
                  <c:v>136897.79999999999</c:v>
                </c:pt>
                <c:pt idx="1">
                  <c:v>151377.59</c:v>
                </c:pt>
                <c:pt idx="2">
                  <c:v>101145.55</c:v>
                </c:pt>
                <c:pt idx="3">
                  <c:v>118671.85</c:v>
                </c:pt>
                <c:pt idx="4">
                  <c:v>91391.77</c:v>
                </c:pt>
                <c:pt idx="5">
                  <c:v>99814.71</c:v>
                </c:pt>
                <c:pt idx="6">
                  <c:v>147198.87</c:v>
                </c:pt>
                <c:pt idx="7">
                  <c:v>145530.06</c:v>
                </c:pt>
                <c:pt idx="8">
                  <c:v>148718.95000000001</c:v>
                </c:pt>
                <c:pt idx="9">
                  <c:v>108679.17</c:v>
                </c:pt>
                <c:pt idx="10">
                  <c:v>110594.11</c:v>
                </c:pt>
                <c:pt idx="11">
                  <c:v>91790.61</c:v>
                </c:pt>
                <c:pt idx="12">
                  <c:v>127320.38</c:v>
                </c:pt>
                <c:pt idx="13">
                  <c:v>135495.07</c:v>
                </c:pt>
                <c:pt idx="14">
                  <c:v>156547.42000000001</c:v>
                </c:pt>
                <c:pt idx="15">
                  <c:v>122616.84</c:v>
                </c:pt>
                <c:pt idx="16">
                  <c:v>121597.55</c:v>
                </c:pt>
                <c:pt idx="17">
                  <c:v>145077.57999999999</c:v>
                </c:pt>
                <c:pt idx="18">
                  <c:v>114175.79</c:v>
                </c:pt>
                <c:pt idx="19">
                  <c:v>153514.10999999999</c:v>
                </c:pt>
                <c:pt idx="20">
                  <c:v>113867.3</c:v>
                </c:pt>
                <c:pt idx="21">
                  <c:v>153773.43</c:v>
                </c:pt>
                <c:pt idx="22">
                  <c:v>122782.75</c:v>
                </c:pt>
                <c:pt idx="23">
                  <c:v>105751.03</c:v>
                </c:pt>
                <c:pt idx="24">
                  <c:v>99281.34</c:v>
                </c:pt>
                <c:pt idx="25">
                  <c:v>139553.16</c:v>
                </c:pt>
                <c:pt idx="26">
                  <c:v>144135.98000000001</c:v>
                </c:pt>
                <c:pt idx="27">
                  <c:v>127864.55</c:v>
                </c:pt>
                <c:pt idx="28">
                  <c:v>182645.56</c:v>
                </c:pt>
                <c:pt idx="29">
                  <c:v>153032.06</c:v>
                </c:pt>
                <c:pt idx="30">
                  <c:v>115641.28</c:v>
                </c:pt>
                <c:pt idx="31">
                  <c:v>152701.92000000001</c:v>
                </c:pt>
                <c:pt idx="32">
                  <c:v>129219.61</c:v>
                </c:pt>
                <c:pt idx="33">
                  <c:v>103057.49</c:v>
                </c:pt>
                <c:pt idx="34">
                  <c:v>157693.92000000001</c:v>
                </c:pt>
                <c:pt idx="35">
                  <c:v>85047.44</c:v>
                </c:pt>
                <c:pt idx="36">
                  <c:v>127056.21</c:v>
                </c:pt>
                <c:pt idx="37">
                  <c:v>51283.14</c:v>
                </c:pt>
                <c:pt idx="38">
                  <c:v>65947.929999999993</c:v>
                </c:pt>
                <c:pt idx="39">
                  <c:v>82982.09</c:v>
                </c:pt>
                <c:pt idx="40">
                  <c:v>118546.05</c:v>
                </c:pt>
                <c:pt idx="41">
                  <c:v>84710.77</c:v>
                </c:pt>
                <c:pt idx="42">
                  <c:v>96189.63</c:v>
                </c:pt>
                <c:pt idx="43">
                  <c:v>127382.3</c:v>
                </c:pt>
                <c:pt idx="44">
                  <c:v>154806.14000000001</c:v>
                </c:pt>
                <c:pt idx="45">
                  <c:v>124153.04</c:v>
                </c:pt>
                <c:pt idx="46">
                  <c:v>115816.21</c:v>
                </c:pt>
                <c:pt idx="47">
                  <c:v>135426.92000000001</c:v>
                </c:pt>
                <c:pt idx="48">
                  <c:v>51743.15</c:v>
                </c:pt>
                <c:pt idx="49">
                  <c:v>116983.8</c:v>
                </c:pt>
              </c:numCache>
            </c:numRef>
          </c:xVal>
          <c:yVal>
            <c:numRef>
              <c:f>'Project Profit Analysis'!$E$2:$E$51</c:f>
              <c:numCache>
                <c:formatCode>0</c:formatCode>
                <c:ptCount val="50"/>
                <c:pt idx="0">
                  <c:v>192261.83</c:v>
                </c:pt>
                <c:pt idx="1">
                  <c:v>191792.06</c:v>
                </c:pt>
                <c:pt idx="2">
                  <c:v>191050.39</c:v>
                </c:pt>
                <c:pt idx="3">
                  <c:v>182901.99</c:v>
                </c:pt>
                <c:pt idx="4">
                  <c:v>166187.94</c:v>
                </c:pt>
                <c:pt idx="5">
                  <c:v>156991.12</c:v>
                </c:pt>
                <c:pt idx="6">
                  <c:v>156122.51</c:v>
                </c:pt>
                <c:pt idx="7">
                  <c:v>155752.6</c:v>
                </c:pt>
                <c:pt idx="8">
                  <c:v>152211.76999999999</c:v>
                </c:pt>
                <c:pt idx="9">
                  <c:v>149759.96</c:v>
                </c:pt>
                <c:pt idx="10">
                  <c:v>146121.95000000001</c:v>
                </c:pt>
                <c:pt idx="11">
                  <c:v>144259.4</c:v>
                </c:pt>
                <c:pt idx="12">
                  <c:v>141585.51999999999</c:v>
                </c:pt>
                <c:pt idx="13">
                  <c:v>134307.35</c:v>
                </c:pt>
                <c:pt idx="14">
                  <c:v>132602.65</c:v>
                </c:pt>
                <c:pt idx="15">
                  <c:v>129917.04</c:v>
                </c:pt>
                <c:pt idx="16">
                  <c:v>126992.93</c:v>
                </c:pt>
                <c:pt idx="17">
                  <c:v>125370.37</c:v>
                </c:pt>
                <c:pt idx="18">
                  <c:v>124266.9</c:v>
                </c:pt>
                <c:pt idx="19">
                  <c:v>122776.86</c:v>
                </c:pt>
                <c:pt idx="20">
                  <c:v>118474.03</c:v>
                </c:pt>
                <c:pt idx="21">
                  <c:v>111313.02</c:v>
                </c:pt>
                <c:pt idx="22">
                  <c:v>110352.25</c:v>
                </c:pt>
                <c:pt idx="23">
                  <c:v>108733.99</c:v>
                </c:pt>
                <c:pt idx="24">
                  <c:v>108552.04</c:v>
                </c:pt>
                <c:pt idx="25">
                  <c:v>107404.34</c:v>
                </c:pt>
                <c:pt idx="26">
                  <c:v>105733.54</c:v>
                </c:pt>
                <c:pt idx="27">
                  <c:v>105008.31</c:v>
                </c:pt>
                <c:pt idx="28">
                  <c:v>103282.38</c:v>
                </c:pt>
                <c:pt idx="29">
                  <c:v>101004.64</c:v>
                </c:pt>
                <c:pt idx="30">
                  <c:v>99937.59</c:v>
                </c:pt>
                <c:pt idx="31">
                  <c:v>97483.56</c:v>
                </c:pt>
                <c:pt idx="32">
                  <c:v>97427.839999999997</c:v>
                </c:pt>
                <c:pt idx="33">
                  <c:v>96778.92</c:v>
                </c:pt>
                <c:pt idx="34">
                  <c:v>96712.8</c:v>
                </c:pt>
                <c:pt idx="35">
                  <c:v>96479.51</c:v>
                </c:pt>
                <c:pt idx="36">
                  <c:v>90708.19</c:v>
                </c:pt>
                <c:pt idx="37">
                  <c:v>89949.14</c:v>
                </c:pt>
                <c:pt idx="38">
                  <c:v>81229.06</c:v>
                </c:pt>
                <c:pt idx="39">
                  <c:v>81005.759999999995</c:v>
                </c:pt>
                <c:pt idx="40">
                  <c:v>78239.91</c:v>
                </c:pt>
                <c:pt idx="41">
                  <c:v>77798.83</c:v>
                </c:pt>
                <c:pt idx="42">
                  <c:v>71498.490000000005</c:v>
                </c:pt>
                <c:pt idx="43">
                  <c:v>69758.98</c:v>
                </c:pt>
                <c:pt idx="44">
                  <c:v>65200.33</c:v>
                </c:pt>
                <c:pt idx="45">
                  <c:v>64926.080000000002</c:v>
                </c:pt>
                <c:pt idx="46">
                  <c:v>49490.75</c:v>
                </c:pt>
                <c:pt idx="47">
                  <c:v>42559.73</c:v>
                </c:pt>
                <c:pt idx="48">
                  <c:v>35673.410000000003</c:v>
                </c:pt>
                <c:pt idx="49">
                  <c:v>14681.4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9-474A-94E4-B762D62B7D2D}"/>
            </c:ext>
          </c:extLst>
        </c:ser>
        <c:ser>
          <c:idx val="1"/>
          <c:order val="1"/>
          <c:tx>
            <c:v>Predicted Profit</c:v>
          </c:tx>
          <c:spPr>
            <a:ln w="19050">
              <a:noFill/>
            </a:ln>
          </c:spPr>
          <c:xVal>
            <c:numRef>
              <c:f>'Project Profit Analysis'!$B$2:$B$51</c:f>
              <c:numCache>
                <c:formatCode>0</c:formatCode>
                <c:ptCount val="50"/>
                <c:pt idx="0">
                  <c:v>136897.79999999999</c:v>
                </c:pt>
                <c:pt idx="1">
                  <c:v>151377.59</c:v>
                </c:pt>
                <c:pt idx="2">
                  <c:v>101145.55</c:v>
                </c:pt>
                <c:pt idx="3">
                  <c:v>118671.85</c:v>
                </c:pt>
                <c:pt idx="4">
                  <c:v>91391.77</c:v>
                </c:pt>
                <c:pt idx="5">
                  <c:v>99814.71</c:v>
                </c:pt>
                <c:pt idx="6">
                  <c:v>147198.87</c:v>
                </c:pt>
                <c:pt idx="7">
                  <c:v>145530.06</c:v>
                </c:pt>
                <c:pt idx="8">
                  <c:v>148718.95000000001</c:v>
                </c:pt>
                <c:pt idx="9">
                  <c:v>108679.17</c:v>
                </c:pt>
                <c:pt idx="10">
                  <c:v>110594.11</c:v>
                </c:pt>
                <c:pt idx="11">
                  <c:v>91790.61</c:v>
                </c:pt>
                <c:pt idx="12">
                  <c:v>127320.38</c:v>
                </c:pt>
                <c:pt idx="13">
                  <c:v>135495.07</c:v>
                </c:pt>
                <c:pt idx="14">
                  <c:v>156547.42000000001</c:v>
                </c:pt>
                <c:pt idx="15">
                  <c:v>122616.84</c:v>
                </c:pt>
                <c:pt idx="16">
                  <c:v>121597.55</c:v>
                </c:pt>
                <c:pt idx="17">
                  <c:v>145077.57999999999</c:v>
                </c:pt>
                <c:pt idx="18">
                  <c:v>114175.79</c:v>
                </c:pt>
                <c:pt idx="19">
                  <c:v>153514.10999999999</c:v>
                </c:pt>
                <c:pt idx="20">
                  <c:v>113867.3</c:v>
                </c:pt>
                <c:pt idx="21">
                  <c:v>153773.43</c:v>
                </c:pt>
                <c:pt idx="22">
                  <c:v>122782.75</c:v>
                </c:pt>
                <c:pt idx="23">
                  <c:v>105751.03</c:v>
                </c:pt>
                <c:pt idx="24">
                  <c:v>99281.34</c:v>
                </c:pt>
                <c:pt idx="25">
                  <c:v>139553.16</c:v>
                </c:pt>
                <c:pt idx="26">
                  <c:v>144135.98000000001</c:v>
                </c:pt>
                <c:pt idx="27">
                  <c:v>127864.55</c:v>
                </c:pt>
                <c:pt idx="28">
                  <c:v>182645.56</c:v>
                </c:pt>
                <c:pt idx="29">
                  <c:v>153032.06</c:v>
                </c:pt>
                <c:pt idx="30">
                  <c:v>115641.28</c:v>
                </c:pt>
                <c:pt idx="31">
                  <c:v>152701.92000000001</c:v>
                </c:pt>
                <c:pt idx="32">
                  <c:v>129219.61</c:v>
                </c:pt>
                <c:pt idx="33">
                  <c:v>103057.49</c:v>
                </c:pt>
                <c:pt idx="34">
                  <c:v>157693.92000000001</c:v>
                </c:pt>
                <c:pt idx="35">
                  <c:v>85047.44</c:v>
                </c:pt>
                <c:pt idx="36">
                  <c:v>127056.21</c:v>
                </c:pt>
                <c:pt idx="37">
                  <c:v>51283.14</c:v>
                </c:pt>
                <c:pt idx="38">
                  <c:v>65947.929999999993</c:v>
                </c:pt>
                <c:pt idx="39">
                  <c:v>82982.09</c:v>
                </c:pt>
                <c:pt idx="40">
                  <c:v>118546.05</c:v>
                </c:pt>
                <c:pt idx="41">
                  <c:v>84710.77</c:v>
                </c:pt>
                <c:pt idx="42">
                  <c:v>96189.63</c:v>
                </c:pt>
                <c:pt idx="43">
                  <c:v>127382.3</c:v>
                </c:pt>
                <c:pt idx="44">
                  <c:v>154806.14000000001</c:v>
                </c:pt>
                <c:pt idx="45">
                  <c:v>124153.04</c:v>
                </c:pt>
                <c:pt idx="46">
                  <c:v>115816.21</c:v>
                </c:pt>
                <c:pt idx="47">
                  <c:v>135426.92000000001</c:v>
                </c:pt>
                <c:pt idx="48">
                  <c:v>51743.15</c:v>
                </c:pt>
                <c:pt idx="49">
                  <c:v>116983.8</c:v>
                </c:pt>
              </c:numCache>
            </c:numRef>
          </c:xVal>
          <c:yVal>
            <c:numRef>
              <c:f>'Project Profit Analysis'!$J$30:$J$79</c:f>
              <c:numCache>
                <c:formatCode>General</c:formatCode>
                <c:ptCount val="50"/>
                <c:pt idx="0">
                  <c:v>192521.25289007861</c:v>
                </c:pt>
                <c:pt idx="1">
                  <c:v>189156.76823226505</c:v>
                </c:pt>
                <c:pt idx="2">
                  <c:v>182147.2790962049</c:v>
                </c:pt>
                <c:pt idx="3">
                  <c:v>173696.70002553402</c:v>
                </c:pt>
                <c:pt idx="4">
                  <c:v>172139.51418327194</c:v>
                </c:pt>
                <c:pt idx="5">
                  <c:v>163580.78057120083</c:v>
                </c:pt>
                <c:pt idx="6">
                  <c:v>158114.09666864749</c:v>
                </c:pt>
                <c:pt idx="7">
                  <c:v>160021.36304781117</c:v>
                </c:pt>
                <c:pt idx="8">
                  <c:v>151741.6996986506</c:v>
                </c:pt>
                <c:pt idx="9">
                  <c:v>154884.68410994846</c:v>
                </c:pt>
                <c:pt idx="10">
                  <c:v>135509.01636714404</c:v>
                </c:pt>
                <c:pt idx="11">
                  <c:v>135573.71296073747</c:v>
                </c:pt>
                <c:pt idx="12">
                  <c:v>129138.05418242674</c:v>
                </c:pt>
                <c:pt idx="13">
                  <c:v>127487.9916627536</c:v>
                </c:pt>
                <c:pt idx="14">
                  <c:v>149548.64633452875</c:v>
                </c:pt>
                <c:pt idx="15">
                  <c:v>146235.15998519622</c:v>
                </c:pt>
                <c:pt idx="16">
                  <c:v>116915.40540143967</c:v>
                </c:pt>
                <c:pt idx="17">
                  <c:v>130192.44720780753</c:v>
                </c:pt>
                <c:pt idx="18">
                  <c:v>129014.22680589673</c:v>
                </c:pt>
                <c:pt idx="19">
                  <c:v>115635.21636716051</c:v>
                </c:pt>
                <c:pt idx="20">
                  <c:v>116639.66923089999</c:v>
                </c:pt>
                <c:pt idx="21">
                  <c:v>117319.45164029335</c:v>
                </c:pt>
                <c:pt idx="22">
                  <c:v>114706.98171695457</c:v>
                </c:pt>
                <c:pt idx="23">
                  <c:v>109996.61522126263</c:v>
                </c:pt>
                <c:pt idx="24">
                  <c:v>113362.96611313859</c:v>
                </c:pt>
                <c:pt idx="25">
                  <c:v>102237.72506480548</c:v>
                </c:pt>
                <c:pt idx="26">
                  <c:v>110600.57535029967</c:v>
                </c:pt>
                <c:pt idx="27">
                  <c:v>114408.0714568408</c:v>
                </c:pt>
                <c:pt idx="28">
                  <c:v>101660.02600497453</c:v>
                </c:pt>
                <c:pt idx="29">
                  <c:v>101794.9834517627</c:v>
                </c:pt>
                <c:pt idx="30">
                  <c:v>99452.372936056257</c:v>
                </c:pt>
                <c:pt idx="31">
                  <c:v>97687.856275748869</c:v>
                </c:pt>
                <c:pt idx="32">
                  <c:v>99001.328985485539</c:v>
                </c:pt>
                <c:pt idx="33">
                  <c:v>97915.007804646128</c:v>
                </c:pt>
                <c:pt idx="34">
                  <c:v>89039.273741164317</c:v>
                </c:pt>
                <c:pt idx="35">
                  <c:v>90511.599567526195</c:v>
                </c:pt>
                <c:pt idx="36">
                  <c:v>75286.174585463974</c:v>
                </c:pt>
                <c:pt idx="37">
                  <c:v>89619.537707903772</c:v>
                </c:pt>
                <c:pt idx="38">
                  <c:v>69697.430648041249</c:v>
                </c:pt>
                <c:pt idx="39">
                  <c:v>83729.01197691953</c:v>
                </c:pt>
                <c:pt idx="40">
                  <c:v>74815.953991047383</c:v>
                </c:pt>
                <c:pt idx="41">
                  <c:v>74802.556238662772</c:v>
                </c:pt>
                <c:pt idx="42">
                  <c:v>70620.411820560214</c:v>
                </c:pt>
                <c:pt idx="43">
                  <c:v>60167.039963347939</c:v>
                </c:pt>
                <c:pt idx="44">
                  <c:v>64611.354915703319</c:v>
                </c:pt>
                <c:pt idx="45">
                  <c:v>47650.649686906458</c:v>
                </c:pt>
                <c:pt idx="46">
                  <c:v>56166.206852607917</c:v>
                </c:pt>
                <c:pt idx="47">
                  <c:v>46490.588983346803</c:v>
                </c:pt>
                <c:pt idx="48">
                  <c:v>49171.388157627247</c:v>
                </c:pt>
                <c:pt idx="49">
                  <c:v>48215.134111298677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C9-474A-94E4-B762D62B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253775"/>
        <c:axId val="637268175"/>
      </c:scatterChart>
      <c:valAx>
        <c:axId val="637253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Administration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68175"/>
        <c:crosses val="autoZero"/>
        <c:crossBetween val="midCat"/>
      </c:valAx>
      <c:valAx>
        <c:axId val="6372681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Profit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537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Marketing_Spend Line Fit  Plot</a:t>
            </a:r>
          </a:p>
        </c:rich>
      </c:tx>
      <c:layout>
        <c:manualLayout>
          <c:xMode val="edge"/>
          <c:yMode val="edge"/>
          <c:x val="7.5902777777777777E-2"/>
          <c:y val="6.8587105624142658E-3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Profit</c:v>
          </c:tx>
          <c:spPr>
            <a:ln w="19050">
              <a:noFill/>
            </a:ln>
          </c:spPr>
          <c:xVal>
            <c:numRef>
              <c:f>'Project Profit Analysis'!$C$2:$C$51</c:f>
              <c:numCache>
                <c:formatCode>0</c:formatCode>
                <c:ptCount val="50"/>
                <c:pt idx="0">
                  <c:v>471784.1</c:v>
                </c:pt>
                <c:pt idx="1">
                  <c:v>443898.53</c:v>
                </c:pt>
                <c:pt idx="2">
                  <c:v>407934.54</c:v>
                </c:pt>
                <c:pt idx="3">
                  <c:v>383199.62</c:v>
                </c:pt>
                <c:pt idx="4">
                  <c:v>366168.42</c:v>
                </c:pt>
                <c:pt idx="5">
                  <c:v>362861.36</c:v>
                </c:pt>
                <c:pt idx="6">
                  <c:v>127716.82</c:v>
                </c:pt>
                <c:pt idx="7">
                  <c:v>323876.68</c:v>
                </c:pt>
                <c:pt idx="8">
                  <c:v>311613.28999999998</c:v>
                </c:pt>
                <c:pt idx="9">
                  <c:v>304981.62</c:v>
                </c:pt>
                <c:pt idx="10">
                  <c:v>229160.95</c:v>
                </c:pt>
                <c:pt idx="11">
                  <c:v>249744.55</c:v>
                </c:pt>
                <c:pt idx="12">
                  <c:v>249839.44</c:v>
                </c:pt>
                <c:pt idx="13">
                  <c:v>252664.93</c:v>
                </c:pt>
                <c:pt idx="14">
                  <c:v>256512.92</c:v>
                </c:pt>
                <c:pt idx="15">
                  <c:v>261776.23</c:v>
                </c:pt>
                <c:pt idx="16">
                  <c:v>264346.06</c:v>
                </c:pt>
                <c:pt idx="17">
                  <c:v>282574.31</c:v>
                </c:pt>
                <c:pt idx="18">
                  <c:v>294919.57</c:v>
                </c:pt>
                <c:pt idx="19">
                  <c:v>0</c:v>
                </c:pt>
                <c:pt idx="20">
                  <c:v>298664.46999999997</c:v>
                </c:pt>
                <c:pt idx="21">
                  <c:v>299737.28999999998</c:v>
                </c:pt>
                <c:pt idx="22">
                  <c:v>303319.26</c:v>
                </c:pt>
                <c:pt idx="23">
                  <c:v>304768.73</c:v>
                </c:pt>
                <c:pt idx="24">
                  <c:v>140574.81</c:v>
                </c:pt>
                <c:pt idx="25">
                  <c:v>137962.62</c:v>
                </c:pt>
                <c:pt idx="26">
                  <c:v>134050.07</c:v>
                </c:pt>
                <c:pt idx="27">
                  <c:v>353183.81</c:v>
                </c:pt>
                <c:pt idx="28">
                  <c:v>118148.2</c:v>
                </c:pt>
                <c:pt idx="29">
                  <c:v>107138.38</c:v>
                </c:pt>
                <c:pt idx="30">
                  <c:v>91131.24</c:v>
                </c:pt>
                <c:pt idx="31">
                  <c:v>88218.23</c:v>
                </c:pt>
                <c:pt idx="32">
                  <c:v>46085.25</c:v>
                </c:pt>
                <c:pt idx="33">
                  <c:v>214634.81</c:v>
                </c:pt>
                <c:pt idx="34">
                  <c:v>210797.67</c:v>
                </c:pt>
                <c:pt idx="35">
                  <c:v>205517.64</c:v>
                </c:pt>
                <c:pt idx="36">
                  <c:v>201126.82</c:v>
                </c:pt>
                <c:pt idx="37">
                  <c:v>197029.42</c:v>
                </c:pt>
                <c:pt idx="38">
                  <c:v>185265.1</c:v>
                </c:pt>
                <c:pt idx="39">
                  <c:v>174999.3</c:v>
                </c:pt>
                <c:pt idx="40">
                  <c:v>172795.67</c:v>
                </c:pt>
                <c:pt idx="41">
                  <c:v>164470.71</c:v>
                </c:pt>
                <c:pt idx="42">
                  <c:v>148001.10999999999</c:v>
                </c:pt>
                <c:pt idx="43">
                  <c:v>35534.17</c:v>
                </c:pt>
                <c:pt idx="44">
                  <c:v>28334.720000000001</c:v>
                </c:pt>
                <c:pt idx="45">
                  <c:v>1903.93</c:v>
                </c:pt>
                <c:pt idx="46">
                  <c:v>297114.46000000002</c:v>
                </c:pt>
                <c:pt idx="47">
                  <c:v>0</c:v>
                </c:pt>
                <c:pt idx="48">
                  <c:v>0</c:v>
                </c:pt>
                <c:pt idx="49">
                  <c:v>45173.06</c:v>
                </c:pt>
              </c:numCache>
            </c:numRef>
          </c:xVal>
          <c:yVal>
            <c:numRef>
              <c:f>'Project Profit Analysis'!$E$2:$E$51</c:f>
              <c:numCache>
                <c:formatCode>0</c:formatCode>
                <c:ptCount val="50"/>
                <c:pt idx="0">
                  <c:v>192261.83</c:v>
                </c:pt>
                <c:pt idx="1">
                  <c:v>191792.06</c:v>
                </c:pt>
                <c:pt idx="2">
                  <c:v>191050.39</c:v>
                </c:pt>
                <c:pt idx="3">
                  <c:v>182901.99</c:v>
                </c:pt>
                <c:pt idx="4">
                  <c:v>166187.94</c:v>
                </c:pt>
                <c:pt idx="5">
                  <c:v>156991.12</c:v>
                </c:pt>
                <c:pt idx="6">
                  <c:v>156122.51</c:v>
                </c:pt>
                <c:pt idx="7">
                  <c:v>155752.6</c:v>
                </c:pt>
                <c:pt idx="8">
                  <c:v>152211.76999999999</c:v>
                </c:pt>
                <c:pt idx="9">
                  <c:v>149759.96</c:v>
                </c:pt>
                <c:pt idx="10">
                  <c:v>146121.95000000001</c:v>
                </c:pt>
                <c:pt idx="11">
                  <c:v>144259.4</c:v>
                </c:pt>
                <c:pt idx="12">
                  <c:v>141585.51999999999</c:v>
                </c:pt>
                <c:pt idx="13">
                  <c:v>134307.35</c:v>
                </c:pt>
                <c:pt idx="14">
                  <c:v>132602.65</c:v>
                </c:pt>
                <c:pt idx="15">
                  <c:v>129917.04</c:v>
                </c:pt>
                <c:pt idx="16">
                  <c:v>126992.93</c:v>
                </c:pt>
                <c:pt idx="17">
                  <c:v>125370.37</c:v>
                </c:pt>
                <c:pt idx="18">
                  <c:v>124266.9</c:v>
                </c:pt>
                <c:pt idx="19">
                  <c:v>122776.86</c:v>
                </c:pt>
                <c:pt idx="20">
                  <c:v>118474.03</c:v>
                </c:pt>
                <c:pt idx="21">
                  <c:v>111313.02</c:v>
                </c:pt>
                <c:pt idx="22">
                  <c:v>110352.25</c:v>
                </c:pt>
                <c:pt idx="23">
                  <c:v>108733.99</c:v>
                </c:pt>
                <c:pt idx="24">
                  <c:v>108552.04</c:v>
                </c:pt>
                <c:pt idx="25">
                  <c:v>107404.34</c:v>
                </c:pt>
                <c:pt idx="26">
                  <c:v>105733.54</c:v>
                </c:pt>
                <c:pt idx="27">
                  <c:v>105008.31</c:v>
                </c:pt>
                <c:pt idx="28">
                  <c:v>103282.38</c:v>
                </c:pt>
                <c:pt idx="29">
                  <c:v>101004.64</c:v>
                </c:pt>
                <c:pt idx="30">
                  <c:v>99937.59</c:v>
                </c:pt>
                <c:pt idx="31">
                  <c:v>97483.56</c:v>
                </c:pt>
                <c:pt idx="32">
                  <c:v>97427.839999999997</c:v>
                </c:pt>
                <c:pt idx="33">
                  <c:v>96778.92</c:v>
                </c:pt>
                <c:pt idx="34">
                  <c:v>96712.8</c:v>
                </c:pt>
                <c:pt idx="35">
                  <c:v>96479.51</c:v>
                </c:pt>
                <c:pt idx="36">
                  <c:v>90708.19</c:v>
                </c:pt>
                <c:pt idx="37">
                  <c:v>89949.14</c:v>
                </c:pt>
                <c:pt idx="38">
                  <c:v>81229.06</c:v>
                </c:pt>
                <c:pt idx="39">
                  <c:v>81005.759999999995</c:v>
                </c:pt>
                <c:pt idx="40">
                  <c:v>78239.91</c:v>
                </c:pt>
                <c:pt idx="41">
                  <c:v>77798.83</c:v>
                </c:pt>
                <c:pt idx="42">
                  <c:v>71498.490000000005</c:v>
                </c:pt>
                <c:pt idx="43">
                  <c:v>69758.98</c:v>
                </c:pt>
                <c:pt idx="44">
                  <c:v>65200.33</c:v>
                </c:pt>
                <c:pt idx="45">
                  <c:v>64926.080000000002</c:v>
                </c:pt>
                <c:pt idx="46">
                  <c:v>49490.75</c:v>
                </c:pt>
                <c:pt idx="47">
                  <c:v>42559.73</c:v>
                </c:pt>
                <c:pt idx="48">
                  <c:v>35673.410000000003</c:v>
                </c:pt>
                <c:pt idx="49">
                  <c:v>14681.4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2-4C28-A953-91ECAE3F1325}"/>
            </c:ext>
          </c:extLst>
        </c:ser>
        <c:ser>
          <c:idx val="1"/>
          <c:order val="1"/>
          <c:tx>
            <c:v>Predicted Profit</c:v>
          </c:tx>
          <c:spPr>
            <a:ln w="19050">
              <a:noFill/>
            </a:ln>
          </c:spPr>
          <c:xVal>
            <c:numRef>
              <c:f>'Project Profit Analysis'!$C$2:$C$51</c:f>
              <c:numCache>
                <c:formatCode>0</c:formatCode>
                <c:ptCount val="50"/>
                <c:pt idx="0">
                  <c:v>471784.1</c:v>
                </c:pt>
                <c:pt idx="1">
                  <c:v>443898.53</c:v>
                </c:pt>
                <c:pt idx="2">
                  <c:v>407934.54</c:v>
                </c:pt>
                <c:pt idx="3">
                  <c:v>383199.62</c:v>
                </c:pt>
                <c:pt idx="4">
                  <c:v>366168.42</c:v>
                </c:pt>
                <c:pt idx="5">
                  <c:v>362861.36</c:v>
                </c:pt>
                <c:pt idx="6">
                  <c:v>127716.82</c:v>
                </c:pt>
                <c:pt idx="7">
                  <c:v>323876.68</c:v>
                </c:pt>
                <c:pt idx="8">
                  <c:v>311613.28999999998</c:v>
                </c:pt>
                <c:pt idx="9">
                  <c:v>304981.62</c:v>
                </c:pt>
                <c:pt idx="10">
                  <c:v>229160.95</c:v>
                </c:pt>
                <c:pt idx="11">
                  <c:v>249744.55</c:v>
                </c:pt>
                <c:pt idx="12">
                  <c:v>249839.44</c:v>
                </c:pt>
                <c:pt idx="13">
                  <c:v>252664.93</c:v>
                </c:pt>
                <c:pt idx="14">
                  <c:v>256512.92</c:v>
                </c:pt>
                <c:pt idx="15">
                  <c:v>261776.23</c:v>
                </c:pt>
                <c:pt idx="16">
                  <c:v>264346.06</c:v>
                </c:pt>
                <c:pt idx="17">
                  <c:v>282574.31</c:v>
                </c:pt>
                <c:pt idx="18">
                  <c:v>294919.57</c:v>
                </c:pt>
                <c:pt idx="19">
                  <c:v>0</c:v>
                </c:pt>
                <c:pt idx="20">
                  <c:v>298664.46999999997</c:v>
                </c:pt>
                <c:pt idx="21">
                  <c:v>299737.28999999998</c:v>
                </c:pt>
                <c:pt idx="22">
                  <c:v>303319.26</c:v>
                </c:pt>
                <c:pt idx="23">
                  <c:v>304768.73</c:v>
                </c:pt>
                <c:pt idx="24">
                  <c:v>140574.81</c:v>
                </c:pt>
                <c:pt idx="25">
                  <c:v>137962.62</c:v>
                </c:pt>
                <c:pt idx="26">
                  <c:v>134050.07</c:v>
                </c:pt>
                <c:pt idx="27">
                  <c:v>353183.81</c:v>
                </c:pt>
                <c:pt idx="28">
                  <c:v>118148.2</c:v>
                </c:pt>
                <c:pt idx="29">
                  <c:v>107138.38</c:v>
                </c:pt>
                <c:pt idx="30">
                  <c:v>91131.24</c:v>
                </c:pt>
                <c:pt idx="31">
                  <c:v>88218.23</c:v>
                </c:pt>
                <c:pt idx="32">
                  <c:v>46085.25</c:v>
                </c:pt>
                <c:pt idx="33">
                  <c:v>214634.81</c:v>
                </c:pt>
                <c:pt idx="34">
                  <c:v>210797.67</c:v>
                </c:pt>
                <c:pt idx="35">
                  <c:v>205517.64</c:v>
                </c:pt>
                <c:pt idx="36">
                  <c:v>201126.82</c:v>
                </c:pt>
                <c:pt idx="37">
                  <c:v>197029.42</c:v>
                </c:pt>
                <c:pt idx="38">
                  <c:v>185265.1</c:v>
                </c:pt>
                <c:pt idx="39">
                  <c:v>174999.3</c:v>
                </c:pt>
                <c:pt idx="40">
                  <c:v>172795.67</c:v>
                </c:pt>
                <c:pt idx="41">
                  <c:v>164470.71</c:v>
                </c:pt>
                <c:pt idx="42">
                  <c:v>148001.10999999999</c:v>
                </c:pt>
                <c:pt idx="43">
                  <c:v>35534.17</c:v>
                </c:pt>
                <c:pt idx="44">
                  <c:v>28334.720000000001</c:v>
                </c:pt>
                <c:pt idx="45">
                  <c:v>1903.93</c:v>
                </c:pt>
                <c:pt idx="46">
                  <c:v>297114.46000000002</c:v>
                </c:pt>
                <c:pt idx="47">
                  <c:v>0</c:v>
                </c:pt>
                <c:pt idx="48">
                  <c:v>0</c:v>
                </c:pt>
                <c:pt idx="49">
                  <c:v>45173.06</c:v>
                </c:pt>
              </c:numCache>
            </c:numRef>
          </c:xVal>
          <c:yVal>
            <c:numRef>
              <c:f>'Project Profit Analysis'!$J$30:$J$79</c:f>
              <c:numCache>
                <c:formatCode>General</c:formatCode>
                <c:ptCount val="50"/>
                <c:pt idx="0">
                  <c:v>192521.25289007861</c:v>
                </c:pt>
                <c:pt idx="1">
                  <c:v>189156.76823226505</c:v>
                </c:pt>
                <c:pt idx="2">
                  <c:v>182147.2790962049</c:v>
                </c:pt>
                <c:pt idx="3">
                  <c:v>173696.70002553402</c:v>
                </c:pt>
                <c:pt idx="4">
                  <c:v>172139.51418327194</c:v>
                </c:pt>
                <c:pt idx="5">
                  <c:v>163580.78057120083</c:v>
                </c:pt>
                <c:pt idx="6">
                  <c:v>158114.09666864749</c:v>
                </c:pt>
                <c:pt idx="7">
                  <c:v>160021.36304781117</c:v>
                </c:pt>
                <c:pt idx="8">
                  <c:v>151741.6996986506</c:v>
                </c:pt>
                <c:pt idx="9">
                  <c:v>154884.68410994846</c:v>
                </c:pt>
                <c:pt idx="10">
                  <c:v>135509.01636714404</c:v>
                </c:pt>
                <c:pt idx="11">
                  <c:v>135573.71296073747</c:v>
                </c:pt>
                <c:pt idx="12">
                  <c:v>129138.05418242674</c:v>
                </c:pt>
                <c:pt idx="13">
                  <c:v>127487.9916627536</c:v>
                </c:pt>
                <c:pt idx="14">
                  <c:v>149548.64633452875</c:v>
                </c:pt>
                <c:pt idx="15">
                  <c:v>146235.15998519622</c:v>
                </c:pt>
                <c:pt idx="16">
                  <c:v>116915.40540143967</c:v>
                </c:pt>
                <c:pt idx="17">
                  <c:v>130192.44720780753</c:v>
                </c:pt>
                <c:pt idx="18">
                  <c:v>129014.22680589673</c:v>
                </c:pt>
                <c:pt idx="19">
                  <c:v>115635.21636716051</c:v>
                </c:pt>
                <c:pt idx="20">
                  <c:v>116639.66923089999</c:v>
                </c:pt>
                <c:pt idx="21">
                  <c:v>117319.45164029335</c:v>
                </c:pt>
                <c:pt idx="22">
                  <c:v>114706.98171695457</c:v>
                </c:pt>
                <c:pt idx="23">
                  <c:v>109996.61522126263</c:v>
                </c:pt>
                <c:pt idx="24">
                  <c:v>113362.96611313859</c:v>
                </c:pt>
                <c:pt idx="25">
                  <c:v>102237.72506480548</c:v>
                </c:pt>
                <c:pt idx="26">
                  <c:v>110600.57535029967</c:v>
                </c:pt>
                <c:pt idx="27">
                  <c:v>114408.0714568408</c:v>
                </c:pt>
                <c:pt idx="28">
                  <c:v>101660.02600497453</c:v>
                </c:pt>
                <c:pt idx="29">
                  <c:v>101794.9834517627</c:v>
                </c:pt>
                <c:pt idx="30">
                  <c:v>99452.372936056257</c:v>
                </c:pt>
                <c:pt idx="31">
                  <c:v>97687.856275748869</c:v>
                </c:pt>
                <c:pt idx="32">
                  <c:v>99001.328985485539</c:v>
                </c:pt>
                <c:pt idx="33">
                  <c:v>97915.007804646128</c:v>
                </c:pt>
                <c:pt idx="34">
                  <c:v>89039.273741164317</c:v>
                </c:pt>
                <c:pt idx="35">
                  <c:v>90511.599567526195</c:v>
                </c:pt>
                <c:pt idx="36">
                  <c:v>75286.174585463974</c:v>
                </c:pt>
                <c:pt idx="37">
                  <c:v>89619.537707903772</c:v>
                </c:pt>
                <c:pt idx="38">
                  <c:v>69697.430648041249</c:v>
                </c:pt>
                <c:pt idx="39">
                  <c:v>83729.01197691953</c:v>
                </c:pt>
                <c:pt idx="40">
                  <c:v>74815.953991047383</c:v>
                </c:pt>
                <c:pt idx="41">
                  <c:v>74802.556238662772</c:v>
                </c:pt>
                <c:pt idx="42">
                  <c:v>70620.411820560214</c:v>
                </c:pt>
                <c:pt idx="43">
                  <c:v>60167.039963347939</c:v>
                </c:pt>
                <c:pt idx="44">
                  <c:v>64611.354915703319</c:v>
                </c:pt>
                <c:pt idx="45">
                  <c:v>47650.649686906458</c:v>
                </c:pt>
                <c:pt idx="46">
                  <c:v>56166.206852607917</c:v>
                </c:pt>
                <c:pt idx="47">
                  <c:v>46490.588983346803</c:v>
                </c:pt>
                <c:pt idx="48">
                  <c:v>49171.388157627247</c:v>
                </c:pt>
                <c:pt idx="49">
                  <c:v>48215.134111298677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62-4C28-A953-91ECAE3F1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260975"/>
        <c:axId val="637253775"/>
      </c:scatterChart>
      <c:valAx>
        <c:axId val="637260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Marketing_Spend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53775"/>
        <c:crosses val="autoZero"/>
        <c:crossBetween val="midCat"/>
      </c:valAx>
      <c:valAx>
        <c:axId val="6372537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Profit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372609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594360</xdr:colOff>
      <xdr:row>11</xdr:row>
      <xdr:rowOff>160020</xdr:rowOff>
    </xdr:from>
    <xdr:to>
      <xdr:col>23</xdr:col>
      <xdr:colOff>594359</xdr:colOff>
      <xdr:row>21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763DFD-43F6-3E6D-437E-7AE00BF6D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579120</xdr:colOff>
      <xdr:row>24</xdr:row>
      <xdr:rowOff>45720</xdr:rowOff>
    </xdr:from>
    <xdr:to>
      <xdr:col>23</xdr:col>
      <xdr:colOff>579119</xdr:colOff>
      <xdr:row>34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425EB0-778D-15FD-32DF-4728EF4B9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563879</xdr:colOff>
      <xdr:row>1</xdr:row>
      <xdr:rowOff>53340</xdr:rowOff>
    </xdr:from>
    <xdr:to>
      <xdr:col>23</xdr:col>
      <xdr:colOff>563879</xdr:colOff>
      <xdr:row>11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83252D-BD3C-6D06-2220-0B9032377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297179</xdr:colOff>
      <xdr:row>24</xdr:row>
      <xdr:rowOff>83820</xdr:rowOff>
    </xdr:from>
    <xdr:to>
      <xdr:col>17</xdr:col>
      <xdr:colOff>297179</xdr:colOff>
      <xdr:row>34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7E3B14E-3182-8DD1-939C-9C44E3EF5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525779</xdr:colOff>
      <xdr:row>35</xdr:row>
      <xdr:rowOff>114300</xdr:rowOff>
    </xdr:from>
    <xdr:to>
      <xdr:col>23</xdr:col>
      <xdr:colOff>525779</xdr:colOff>
      <xdr:row>45</xdr:row>
      <xdr:rowOff>137160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CBE2508-7E3C-6A3A-5256-7BB22D50A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312419</xdr:colOff>
      <xdr:row>36</xdr:row>
      <xdr:rowOff>9525</xdr:rowOff>
    </xdr:from>
    <xdr:to>
      <xdr:col>17</xdr:col>
      <xdr:colOff>312419</xdr:colOff>
      <xdr:row>46</xdr:row>
      <xdr:rowOff>32385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808D84-25A4-7BC3-F9D6-C3F5301D65EE}"/>
            </a:ext>
            <a:ext uri="{147F2762-F138-4A5C-976F-8EAC2B608ADB}">
              <a16:predDERef xmlns:a16="http://schemas.microsoft.com/office/drawing/2014/main" pred="{BCBE2508-7E3C-6A3A-5256-7BB22D50A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8163E5A-93EF-4B86-8A14-745996EB153B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RD_Spend" tableColumnId="1"/>
      <queryTableField id="2" name="Administration" tableColumnId="2"/>
      <queryTableField id="3" name="Marketing_Spend" tableColumnId="3"/>
      <queryTableField id="4" name="State" tableColumnId="4"/>
      <queryTableField id="5" name="Profit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05291F2-4883-4D7D-9093-0CE50CC1B376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RD_Spend" tableColumnId="1"/>
      <queryTableField id="2" name="Administration" tableColumnId="2"/>
      <queryTableField id="3" name="Marketing_Spend" tableColumnId="3"/>
      <queryTableField id="4" name="State" tableColumnId="4"/>
      <queryTableField id="5" name="Profit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F80D0-7471-4C7D-839A-9CB5268B2BE7}" name="sql_1" displayName="sql_1" ref="A1:H51" tableType="queryTable" totalsRowShown="0">
  <autoFilter ref="A1:H51" xr:uid="{503F80D0-7471-4C7D-839A-9CB5268B2BE7}"/>
  <tableColumns count="8">
    <tableColumn id="1" xr3:uid="{3A546733-C9AA-4F72-BA4D-9107AB339F19}" uniqueName="1" name="RD_Spend" queryTableFieldId="1" dataDxfId="15"/>
    <tableColumn id="2" xr3:uid="{87951EAD-3E56-449E-9793-E65CDF18A8FF}" uniqueName="2" name="Administration" queryTableFieldId="2" dataDxfId="14"/>
    <tableColumn id="3" xr3:uid="{778EA7A9-B0E6-46CD-98B2-B6C32210FDB7}" uniqueName="3" name="Marketing_Spend" queryTableFieldId="3" dataDxfId="13"/>
    <tableColumn id="4" xr3:uid="{805B74B9-61DB-4C6F-83A5-B0DFA10666EE}" uniqueName="4" name="State" queryTableFieldId="4" dataDxfId="12"/>
    <tableColumn id="5" xr3:uid="{B4978C6D-821D-4C98-B519-07D8A5FC6A49}" uniqueName="5" name="Profit" queryTableFieldId="5" dataDxfId="11"/>
    <tableColumn id="6" xr3:uid="{3C6990B8-A8A9-4DC3-B092-0EC1A741054E}" uniqueName="6" name="Observation" queryTableFieldId="6" dataDxfId="10"/>
    <tableColumn id="7" xr3:uid="{2F8467CB-22D3-4EAC-BFC9-3849B9A9B3E8}" uniqueName="7" name="Predicted Profit" queryTableFieldId="7" dataDxfId="9"/>
    <tableColumn id="8" xr3:uid="{AC643AED-EB15-4BAD-92E2-886DE6BE6520}" uniqueName="8" name="Residuals" queryTableFieldId="8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3D0D86-3341-4AD7-81A3-7DF51E47BCBC}" name="sql_13" displayName="sql_13" ref="A1:H51" tableType="queryTable" totalsRowShown="0">
  <autoFilter ref="A1:H51" xr:uid="{833D0D86-3341-4AD7-81A3-7DF51E47BCBC}"/>
  <tableColumns count="8">
    <tableColumn id="1" xr3:uid="{96EDB5E0-024C-4E98-AC66-4CE620553DF3}" uniqueName="1" name="RD_Spend" queryTableFieldId="1" dataDxfId="7"/>
    <tableColumn id="2" xr3:uid="{D10CED99-E132-4573-B51C-9AD9FDA3CAC1}" uniqueName="2" name="Administration" queryTableFieldId="2" dataDxfId="6"/>
    <tableColumn id="3" xr3:uid="{A6D52238-790C-405C-9732-C83FEDE3D7FB}" uniqueName="3" name="Marketing_Spend" queryTableFieldId="3" dataDxfId="5"/>
    <tableColumn id="4" xr3:uid="{391C7EA8-F884-43C3-84BD-684D71EA73E1}" uniqueName="4" name="State" queryTableFieldId="4" dataDxfId="4"/>
    <tableColumn id="5" xr3:uid="{9D83223B-439F-469D-8C2D-0AB9539CFD6F}" uniqueName="5" name="Profit" queryTableFieldId="5" dataDxfId="3"/>
    <tableColumn id="6" xr3:uid="{131A4917-73F2-4E65-80AD-BAE57F5A8293}" uniqueName="6" name="Observation" queryTableFieldId="6" dataDxfId="2"/>
    <tableColumn id="7" xr3:uid="{1D8998DC-4437-49EB-AF0E-9AC944BC878E}" uniqueName="7" name="Predicted Profit" queryTableFieldId="7" dataDxfId="1"/>
    <tableColumn id="8" xr3:uid="{C002D392-8124-4F32-AD59-837D35D3B9D0}" uniqueName="8" name="Residuals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C84F6-2FFF-4051-86A4-646DD1BEDE0A}">
  <sheetPr codeName="Sheet1"/>
  <dimension ref="A1:Y79"/>
  <sheetViews>
    <sheetView tabSelected="1" topLeftCell="G9" workbookViewId="0">
      <selection activeCell="O11" sqref="O11"/>
    </sheetView>
  </sheetViews>
  <sheetFormatPr defaultRowHeight="14.4" x14ac:dyDescent="0.3"/>
  <cols>
    <col min="1" max="1" width="11.88671875" bestFit="1" customWidth="1"/>
    <col min="2" max="2" width="17" customWidth="1"/>
    <col min="3" max="3" width="19" customWidth="1"/>
    <col min="4" max="4" width="15.109375" bestFit="1" customWidth="1"/>
    <col min="5" max="5" width="7.88671875" bestFit="1" customWidth="1"/>
    <col min="6" max="6" width="16.33203125" bestFit="1" customWidth="1"/>
    <col min="7" max="7" width="19.21875" bestFit="1" customWidth="1"/>
    <col min="8" max="8" width="14" bestFit="1" customWidth="1"/>
    <col min="9" max="9" width="18" bestFit="1" customWidth="1"/>
    <col min="10" max="10" width="14.77734375" bestFit="1" customWidth="1"/>
    <col min="11" max="11" width="14.109375" bestFit="1" customWidth="1"/>
    <col min="12" max="12" width="12.6640625" bestFit="1" customWidth="1"/>
    <col min="13" max="13" width="12" bestFit="1" customWidth="1"/>
    <col min="14" max="14" width="12.88671875" bestFit="1" customWidth="1"/>
    <col min="15" max="15" width="12" bestFit="1" customWidth="1"/>
    <col min="16" max="16" width="12.6640625" bestFit="1" customWidth="1"/>
    <col min="17" max="17" width="12.33203125" bestFit="1" customWidth="1"/>
    <col min="25" max="25" width="3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t="s">
        <v>3</v>
      </c>
      <c r="E1" s="1" t="s">
        <v>4</v>
      </c>
      <c r="F1" s="8" t="s">
        <v>33</v>
      </c>
      <c r="G1" s="8" t="s">
        <v>34</v>
      </c>
      <c r="H1" s="8" t="s">
        <v>35</v>
      </c>
    </row>
    <row r="2" spans="1:14" x14ac:dyDescent="0.3">
      <c r="A2" s="1">
        <v>165349.20000000001</v>
      </c>
      <c r="B2" s="1">
        <v>136897.79999999999</v>
      </c>
      <c r="C2" s="1">
        <v>471784.1</v>
      </c>
      <c r="D2" t="s">
        <v>5</v>
      </c>
      <c r="E2" s="1">
        <v>192261.83</v>
      </c>
      <c r="F2" s="1">
        <v>1</v>
      </c>
      <c r="G2" s="1">
        <v>192521.25289007861</v>
      </c>
      <c r="H2" s="1">
        <v>-259.42289007862564</v>
      </c>
    </row>
    <row r="3" spans="1:14" x14ac:dyDescent="0.3">
      <c r="A3" s="1">
        <v>162597.70000000001</v>
      </c>
      <c r="B3" s="1">
        <v>151377.59</v>
      </c>
      <c r="C3" s="1">
        <v>443898.53</v>
      </c>
      <c r="D3" t="s">
        <v>6</v>
      </c>
      <c r="E3" s="1">
        <v>191792.06</v>
      </c>
      <c r="F3" s="1">
        <v>2</v>
      </c>
      <c r="G3" s="1">
        <v>189156.76823226505</v>
      </c>
      <c r="H3" s="1">
        <v>2635.2917677349469</v>
      </c>
    </row>
    <row r="4" spans="1:14" x14ac:dyDescent="0.3">
      <c r="A4" s="1">
        <v>153441.51</v>
      </c>
      <c r="B4" s="1">
        <v>101145.55</v>
      </c>
      <c r="C4" s="1">
        <v>407934.54</v>
      </c>
      <c r="D4" t="s">
        <v>7</v>
      </c>
      <c r="E4" s="1">
        <v>191050.39</v>
      </c>
      <c r="F4" s="1">
        <v>3</v>
      </c>
      <c r="G4" s="1">
        <v>182147.2790962049</v>
      </c>
      <c r="H4" s="1">
        <v>8903.1109037951101</v>
      </c>
      <c r="I4" s="9" t="s">
        <v>8</v>
      </c>
    </row>
    <row r="5" spans="1:14" ht="15" thickBot="1" x14ac:dyDescent="0.35">
      <c r="A5" s="1">
        <v>144372.41</v>
      </c>
      <c r="B5" s="1">
        <v>118671.85</v>
      </c>
      <c r="C5" s="1">
        <v>383199.62</v>
      </c>
      <c r="D5" t="s">
        <v>5</v>
      </c>
      <c r="E5" s="1">
        <v>182901.99</v>
      </c>
      <c r="F5" s="1">
        <v>4</v>
      </c>
      <c r="G5" s="1">
        <v>173696.70002553402</v>
      </c>
      <c r="H5" s="1">
        <v>9205.2899744659662</v>
      </c>
    </row>
    <row r="6" spans="1:14" x14ac:dyDescent="0.3">
      <c r="A6" s="1">
        <v>142107.34</v>
      </c>
      <c r="B6" s="1">
        <v>91391.77</v>
      </c>
      <c r="C6" s="1">
        <v>366168.42</v>
      </c>
      <c r="D6" t="s">
        <v>7</v>
      </c>
      <c r="E6" s="1">
        <v>166187.94</v>
      </c>
      <c r="F6" s="1">
        <v>5</v>
      </c>
      <c r="G6" s="1">
        <v>172139.51418327194</v>
      </c>
      <c r="H6" s="1">
        <v>-5951.5741832719359</v>
      </c>
      <c r="I6" s="11" t="s">
        <v>9</v>
      </c>
      <c r="J6" s="4"/>
    </row>
    <row r="7" spans="1:14" x14ac:dyDescent="0.3">
      <c r="A7" s="1">
        <v>131876.9</v>
      </c>
      <c r="B7" s="1">
        <v>99814.71</v>
      </c>
      <c r="C7" s="1">
        <v>362861.36</v>
      </c>
      <c r="D7" t="s">
        <v>5</v>
      </c>
      <c r="E7" s="1">
        <v>156991.12</v>
      </c>
      <c r="F7" s="1">
        <v>6</v>
      </c>
      <c r="G7" s="1">
        <v>163580.78057120083</v>
      </c>
      <c r="H7" s="1">
        <v>-6589.6605712008313</v>
      </c>
      <c r="I7" s="9" t="s">
        <v>10</v>
      </c>
      <c r="J7">
        <v>0.97506204626594128</v>
      </c>
    </row>
    <row r="8" spans="1:14" x14ac:dyDescent="0.3">
      <c r="A8" s="1">
        <v>134615.46</v>
      </c>
      <c r="B8" s="1">
        <v>147198.87</v>
      </c>
      <c r="C8" s="1">
        <v>127716.82</v>
      </c>
      <c r="D8" t="s">
        <v>6</v>
      </c>
      <c r="E8" s="1">
        <v>156122.51</v>
      </c>
      <c r="F8" s="1">
        <v>7</v>
      </c>
      <c r="G8" s="1">
        <v>158114.09666864749</v>
      </c>
      <c r="H8" s="1">
        <v>-1991.5866686474765</v>
      </c>
      <c r="I8" s="9" t="s">
        <v>11</v>
      </c>
      <c r="J8">
        <v>0.95074599406832461</v>
      </c>
    </row>
    <row r="9" spans="1:14" x14ac:dyDescent="0.3">
      <c r="A9" s="1">
        <v>130298.13</v>
      </c>
      <c r="B9" s="1">
        <v>145530.06</v>
      </c>
      <c r="C9" s="1">
        <v>323876.68</v>
      </c>
      <c r="D9" t="s">
        <v>7</v>
      </c>
      <c r="E9" s="1">
        <v>155752.6</v>
      </c>
      <c r="F9" s="1">
        <v>8</v>
      </c>
      <c r="G9" s="1">
        <v>160021.36304781117</v>
      </c>
      <c r="H9" s="1">
        <v>-4268.7630478111678</v>
      </c>
      <c r="I9" s="9" t="s">
        <v>12</v>
      </c>
      <c r="J9">
        <v>0.94753377629017177</v>
      </c>
    </row>
    <row r="10" spans="1:14" x14ac:dyDescent="0.3">
      <c r="A10" s="1">
        <v>120542.52</v>
      </c>
      <c r="B10" s="1">
        <v>148718.95000000001</v>
      </c>
      <c r="C10" s="1">
        <v>311613.28999999998</v>
      </c>
      <c r="D10" t="s">
        <v>5</v>
      </c>
      <c r="E10" s="1">
        <v>152211.76999999999</v>
      </c>
      <c r="F10" s="1">
        <v>9</v>
      </c>
      <c r="G10" s="1">
        <v>151741.6996986506</v>
      </c>
      <c r="H10" s="1">
        <v>470.07030134939123</v>
      </c>
      <c r="I10" s="9" t="s">
        <v>13</v>
      </c>
      <c r="J10">
        <v>9232.3348370026924</v>
      </c>
    </row>
    <row r="11" spans="1:14" ht="15" thickBot="1" x14ac:dyDescent="0.35">
      <c r="A11" s="1">
        <v>123334.88</v>
      </c>
      <c r="B11" s="1">
        <v>108679.17</v>
      </c>
      <c r="C11" s="1">
        <v>304981.62</v>
      </c>
      <c r="D11" t="s">
        <v>6</v>
      </c>
      <c r="E11" s="1">
        <v>149759.96</v>
      </c>
      <c r="F11" s="1">
        <v>10</v>
      </c>
      <c r="G11" s="1">
        <v>154884.68410994846</v>
      </c>
      <c r="H11" s="1">
        <v>-5124.7241099484672</v>
      </c>
      <c r="I11" s="10" t="s">
        <v>14</v>
      </c>
      <c r="J11" s="2">
        <v>50</v>
      </c>
    </row>
    <row r="12" spans="1:14" x14ac:dyDescent="0.3">
      <c r="A12" s="1">
        <v>101913.08</v>
      </c>
      <c r="B12" s="1">
        <v>110594.11</v>
      </c>
      <c r="C12" s="1">
        <v>229160.95</v>
      </c>
      <c r="D12" t="s">
        <v>7</v>
      </c>
      <c r="E12" s="1">
        <v>146121.95000000001</v>
      </c>
      <c r="F12" s="1">
        <v>11</v>
      </c>
      <c r="G12" s="1">
        <v>135509.01636714404</v>
      </c>
      <c r="H12" s="1">
        <v>10612.933632855973</v>
      </c>
    </row>
    <row r="13" spans="1:14" ht="15" thickBot="1" x14ac:dyDescent="0.35">
      <c r="A13" s="1">
        <v>100671.96</v>
      </c>
      <c r="B13" s="1">
        <v>91790.61</v>
      </c>
      <c r="C13" s="1">
        <v>249744.55</v>
      </c>
      <c r="D13" t="s">
        <v>6</v>
      </c>
      <c r="E13" s="1">
        <v>144259.4</v>
      </c>
      <c r="F13" s="1">
        <v>12</v>
      </c>
      <c r="G13" s="1">
        <v>135573.71296073747</v>
      </c>
      <c r="H13" s="1">
        <v>8685.6870392625278</v>
      </c>
      <c r="I13" t="s">
        <v>15</v>
      </c>
    </row>
    <row r="14" spans="1:14" x14ac:dyDescent="0.3">
      <c r="A14" s="1">
        <v>93863.75</v>
      </c>
      <c r="B14" s="1">
        <v>127320.38</v>
      </c>
      <c r="C14" s="1">
        <v>249839.44</v>
      </c>
      <c r="D14" t="s">
        <v>7</v>
      </c>
      <c r="E14" s="1">
        <v>141585.51999999999</v>
      </c>
      <c r="F14" s="1">
        <v>13</v>
      </c>
      <c r="G14" s="1">
        <v>129138.05418242674</v>
      </c>
      <c r="H14" s="1">
        <v>12447.465817573247</v>
      </c>
      <c r="I14" s="3"/>
      <c r="J14" s="8" t="s">
        <v>16</v>
      </c>
      <c r="K14" s="8" t="s">
        <v>17</v>
      </c>
      <c r="L14" s="8" t="s">
        <v>18</v>
      </c>
      <c r="M14" s="8" t="s">
        <v>19</v>
      </c>
      <c r="N14" s="8" t="s">
        <v>20</v>
      </c>
    </row>
    <row r="15" spans="1:14" x14ac:dyDescent="0.3">
      <c r="A15" s="1">
        <v>91992.39</v>
      </c>
      <c r="B15" s="1">
        <v>135495.07</v>
      </c>
      <c r="C15" s="1">
        <v>252664.93</v>
      </c>
      <c r="D15" t="s">
        <v>6</v>
      </c>
      <c r="E15" s="1">
        <v>134307.35</v>
      </c>
      <c r="F15" s="1">
        <v>14</v>
      </c>
      <c r="G15" s="1">
        <v>127487.9916627536</v>
      </c>
      <c r="H15" s="1">
        <v>6819.3583372464054</v>
      </c>
      <c r="I15" s="9" t="s">
        <v>21</v>
      </c>
      <c r="J15">
        <v>3</v>
      </c>
      <c r="K15">
        <v>75683964196.192642</v>
      </c>
      <c r="L15">
        <v>25227988065.397549</v>
      </c>
      <c r="M15">
        <v>295.97806242610113</v>
      </c>
      <c r="N15">
        <v>4.5285063201720611E-30</v>
      </c>
    </row>
    <row r="16" spans="1:14" x14ac:dyDescent="0.3">
      <c r="A16" s="1">
        <v>119943.24</v>
      </c>
      <c r="B16" s="1">
        <v>156547.42000000001</v>
      </c>
      <c r="C16" s="1">
        <v>256512.92</v>
      </c>
      <c r="D16" t="s">
        <v>7</v>
      </c>
      <c r="E16" s="1">
        <v>132602.65</v>
      </c>
      <c r="F16" s="1">
        <v>15</v>
      </c>
      <c r="G16" s="1">
        <v>149548.64633452875</v>
      </c>
      <c r="H16" s="1">
        <v>-16945.996334528754</v>
      </c>
      <c r="I16" s="9" t="s">
        <v>22</v>
      </c>
      <c r="J16">
        <v>46</v>
      </c>
      <c r="K16">
        <v>3920856300.956542</v>
      </c>
      <c r="L16">
        <v>85236006.542533517</v>
      </c>
    </row>
    <row r="17" spans="1:25" ht="15" thickBot="1" x14ac:dyDescent="0.35">
      <c r="A17" s="1">
        <v>114523.61</v>
      </c>
      <c r="B17" s="1">
        <v>122616.84</v>
      </c>
      <c r="C17" s="1">
        <v>261776.23</v>
      </c>
      <c r="D17" t="s">
        <v>5</v>
      </c>
      <c r="E17" s="1">
        <v>129917.04</v>
      </c>
      <c r="F17" s="1">
        <v>16</v>
      </c>
      <c r="G17" s="1">
        <v>146235.15998519622</v>
      </c>
      <c r="H17" s="1">
        <v>-16318.11998519623</v>
      </c>
      <c r="I17" s="10" t="s">
        <v>23</v>
      </c>
      <c r="J17" s="2">
        <v>49</v>
      </c>
      <c r="K17" s="2">
        <v>79604820497.149185</v>
      </c>
      <c r="L17" s="2"/>
      <c r="M17" s="2"/>
      <c r="N17" s="2"/>
    </row>
    <row r="18" spans="1:25" ht="15" thickBot="1" x14ac:dyDescent="0.35">
      <c r="A18" s="1">
        <v>78013.11</v>
      </c>
      <c r="B18" s="1">
        <v>121597.55</v>
      </c>
      <c r="C18" s="1">
        <v>264346.06</v>
      </c>
      <c r="D18" t="s">
        <v>6</v>
      </c>
      <c r="E18" s="1">
        <v>126992.93</v>
      </c>
      <c r="F18" s="1">
        <v>17</v>
      </c>
      <c r="G18" s="1">
        <v>116915.40540143967</v>
      </c>
      <c r="H18" s="1">
        <v>10077.524598560325</v>
      </c>
    </row>
    <row r="19" spans="1:25" x14ac:dyDescent="0.3">
      <c r="A19" s="1">
        <v>94657.16</v>
      </c>
      <c r="B19" s="1">
        <v>145077.57999999999</v>
      </c>
      <c r="C19" s="1">
        <v>282574.31</v>
      </c>
      <c r="D19" t="s">
        <v>5</v>
      </c>
      <c r="E19" s="1">
        <v>125370.37</v>
      </c>
      <c r="F19" s="1">
        <v>18</v>
      </c>
      <c r="G19" s="1">
        <v>130192.44720780753</v>
      </c>
      <c r="H19" s="1">
        <v>-4822.0772078075388</v>
      </c>
      <c r="I19" s="3"/>
      <c r="J19" s="8" t="s">
        <v>24</v>
      </c>
      <c r="K19" s="8" t="s">
        <v>13</v>
      </c>
      <c r="L19" s="8" t="s">
        <v>25</v>
      </c>
      <c r="M19" s="8" t="s">
        <v>26</v>
      </c>
      <c r="N19" s="8" t="s">
        <v>27</v>
      </c>
      <c r="O19" s="8" t="s">
        <v>28</v>
      </c>
      <c r="P19" s="8" t="s">
        <v>29</v>
      </c>
      <c r="Q19" s="8" t="s">
        <v>30</v>
      </c>
    </row>
    <row r="20" spans="1:25" x14ac:dyDescent="0.3">
      <c r="A20" s="1">
        <v>91749.16</v>
      </c>
      <c r="B20" s="1">
        <v>114175.79</v>
      </c>
      <c r="C20" s="1">
        <v>294919.57</v>
      </c>
      <c r="D20" t="s">
        <v>7</v>
      </c>
      <c r="E20" s="1">
        <v>124266.9</v>
      </c>
      <c r="F20" s="1">
        <v>19</v>
      </c>
      <c r="G20" s="1">
        <v>129014.22680589673</v>
      </c>
      <c r="H20" s="1">
        <v>-4747.3268058967369</v>
      </c>
      <c r="I20" s="9" t="s">
        <v>31</v>
      </c>
      <c r="J20">
        <v>50122.192989865282</v>
      </c>
      <c r="K20">
        <v>6572.3526215324682</v>
      </c>
      <c r="L20">
        <v>7.6262178668950273</v>
      </c>
      <c r="M20">
        <v>1.0573791602334319E-9</v>
      </c>
      <c r="N20">
        <v>36892.733323435998</v>
      </c>
      <c r="O20">
        <v>63351.652656294566</v>
      </c>
      <c r="P20">
        <v>36892.733323435998</v>
      </c>
      <c r="Q20">
        <v>63351.652656294566</v>
      </c>
    </row>
    <row r="21" spans="1:25" x14ac:dyDescent="0.3">
      <c r="A21" s="1">
        <v>86419.7</v>
      </c>
      <c r="B21" s="1">
        <v>153514.10999999999</v>
      </c>
      <c r="C21" s="1">
        <v>0</v>
      </c>
      <c r="D21" t="s">
        <v>5</v>
      </c>
      <c r="E21" s="1">
        <v>122776.86</v>
      </c>
      <c r="F21" s="1">
        <v>20</v>
      </c>
      <c r="G21" s="1">
        <v>115635.21636716051</v>
      </c>
      <c r="H21" s="1">
        <v>7141.6436328394921</v>
      </c>
      <c r="I21" s="9" t="s">
        <v>0</v>
      </c>
      <c r="J21">
        <v>0.80571504991574339</v>
      </c>
      <c r="K21">
        <v>4.5147269728517771E-2</v>
      </c>
      <c r="L21">
        <v>17.846373762150328</v>
      </c>
      <c r="M21">
        <v>2.6349677214705453E-22</v>
      </c>
      <c r="N21">
        <v>0.71483830937598158</v>
      </c>
      <c r="O21">
        <v>0.89659179045550519</v>
      </c>
      <c r="P21">
        <v>0.71483830937598158</v>
      </c>
      <c r="Q21">
        <v>0.89659179045550519</v>
      </c>
    </row>
    <row r="22" spans="1:25" x14ac:dyDescent="0.3">
      <c r="A22" s="1">
        <v>76253.86</v>
      </c>
      <c r="B22" s="1">
        <v>113867.3</v>
      </c>
      <c r="C22" s="1">
        <v>298664.46999999997</v>
      </c>
      <c r="D22" t="s">
        <v>6</v>
      </c>
      <c r="E22" s="1">
        <v>118474.03</v>
      </c>
      <c r="F22" s="1">
        <v>21</v>
      </c>
      <c r="G22" s="1">
        <v>116639.66923089999</v>
      </c>
      <c r="H22" s="1">
        <v>1834.360769100007</v>
      </c>
      <c r="I22" s="9" t="s">
        <v>1</v>
      </c>
      <c r="J22">
        <v>-2.6815968394751061E-2</v>
      </c>
      <c r="K22">
        <v>5.1028779938751379E-2</v>
      </c>
      <c r="L22">
        <v>-0.52550675181608542</v>
      </c>
      <c r="M22">
        <v>0.60175510784974762</v>
      </c>
      <c r="N22">
        <v>-0.12953157495169182</v>
      </c>
      <c r="O22">
        <v>7.5899638162189684E-2</v>
      </c>
      <c r="P22">
        <v>-0.12953157495169182</v>
      </c>
      <c r="Q22">
        <v>7.5899638162189684E-2</v>
      </c>
    </row>
    <row r="23" spans="1:25" ht="15" thickBot="1" x14ac:dyDescent="0.35">
      <c r="A23" s="1">
        <v>78389.47</v>
      </c>
      <c r="B23" s="1">
        <v>153773.43</v>
      </c>
      <c r="C23" s="1">
        <v>299737.28999999998</v>
      </c>
      <c r="D23" t="s">
        <v>5</v>
      </c>
      <c r="E23" s="1">
        <v>111313.02</v>
      </c>
      <c r="F23" s="1">
        <v>22</v>
      </c>
      <c r="G23" s="1">
        <v>117319.45164029335</v>
      </c>
      <c r="H23" s="1">
        <v>-6006.4316402933473</v>
      </c>
      <c r="I23" s="10" t="s">
        <v>2</v>
      </c>
      <c r="J23" s="2">
        <v>2.7228064800818939E-2</v>
      </c>
      <c r="K23" s="2">
        <v>1.645123451799518E-2</v>
      </c>
      <c r="L23" s="2">
        <v>1.6550772995811058</v>
      </c>
      <c r="M23" s="2">
        <v>0.10471681926658105</v>
      </c>
      <c r="N23" s="2">
        <v>-5.8865527572449679E-3</v>
      </c>
      <c r="O23" s="2">
        <v>6.0342682358882849E-2</v>
      </c>
      <c r="P23" s="2">
        <v>-5.8865527572449679E-3</v>
      </c>
      <c r="Q23" s="2">
        <v>6.0342682358882849E-2</v>
      </c>
      <c r="Y23">
        <v>57</v>
      </c>
    </row>
    <row r="24" spans="1:25" x14ac:dyDescent="0.3">
      <c r="A24" s="1">
        <v>73994.559999999998</v>
      </c>
      <c r="B24" s="1">
        <v>122782.75</v>
      </c>
      <c r="C24" s="1">
        <v>303319.26</v>
      </c>
      <c r="D24" t="s">
        <v>7</v>
      </c>
      <c r="E24" s="1">
        <v>110352.25</v>
      </c>
      <c r="F24" s="1">
        <v>23</v>
      </c>
      <c r="G24" s="1">
        <v>114706.98171695457</v>
      </c>
      <c r="H24" s="1">
        <v>-4354.7317169545713</v>
      </c>
    </row>
    <row r="25" spans="1:25" x14ac:dyDescent="0.3">
      <c r="A25" s="1">
        <v>67532.53</v>
      </c>
      <c r="B25" s="1">
        <v>105751.03</v>
      </c>
      <c r="C25" s="1">
        <v>304768.73</v>
      </c>
      <c r="D25" t="s">
        <v>7</v>
      </c>
      <c r="E25" s="1">
        <v>108733.99</v>
      </c>
      <c r="F25" s="1">
        <v>24</v>
      </c>
      <c r="G25" s="1">
        <v>109996.61522126263</v>
      </c>
      <c r="H25" s="1">
        <v>-1262.6252212626277</v>
      </c>
    </row>
    <row r="26" spans="1:25" x14ac:dyDescent="0.3">
      <c r="A26" s="1">
        <v>77044.009999999995</v>
      </c>
      <c r="B26" s="1">
        <v>99281.34</v>
      </c>
      <c r="C26" s="1">
        <v>140574.81</v>
      </c>
      <c r="D26" t="s">
        <v>5</v>
      </c>
      <c r="E26" s="1">
        <v>108552.04</v>
      </c>
      <c r="F26" s="1">
        <v>25</v>
      </c>
      <c r="G26" s="1">
        <v>113362.96611313859</v>
      </c>
      <c r="H26" s="1">
        <v>-4810.9261131386011</v>
      </c>
    </row>
    <row r="27" spans="1:25" x14ac:dyDescent="0.3">
      <c r="A27" s="1">
        <v>64664.71</v>
      </c>
      <c r="B27" s="1">
        <v>139553.16</v>
      </c>
      <c r="C27" s="1">
        <v>137962.62</v>
      </c>
      <c r="D27" t="s">
        <v>6</v>
      </c>
      <c r="E27" s="1">
        <v>107404.34</v>
      </c>
      <c r="F27" s="1">
        <v>26</v>
      </c>
      <c r="G27" s="1">
        <v>102237.72506480548</v>
      </c>
      <c r="H27" s="1">
        <v>5166.6149351945205</v>
      </c>
      <c r="I27" s="9" t="s">
        <v>32</v>
      </c>
    </row>
    <row r="28" spans="1:25" ht="15" thickBot="1" x14ac:dyDescent="0.35">
      <c r="A28" s="1">
        <v>75328.87</v>
      </c>
      <c r="B28" s="1">
        <v>144135.98000000001</v>
      </c>
      <c r="C28" s="1">
        <v>134050.07</v>
      </c>
      <c r="D28" t="s">
        <v>7</v>
      </c>
      <c r="E28" s="1">
        <v>105733.54</v>
      </c>
      <c r="F28" s="1">
        <v>27</v>
      </c>
      <c r="G28" s="1">
        <v>110600.57535029967</v>
      </c>
      <c r="H28" s="1">
        <v>-4867.0353502996732</v>
      </c>
    </row>
    <row r="29" spans="1:25" x14ac:dyDescent="0.3">
      <c r="A29" s="1">
        <v>72107.600000000006</v>
      </c>
      <c r="B29" s="1">
        <v>127864.55</v>
      </c>
      <c r="C29" s="1">
        <v>353183.81</v>
      </c>
      <c r="D29" t="s">
        <v>5</v>
      </c>
      <c r="E29" s="1">
        <v>105008.31</v>
      </c>
      <c r="F29" s="1">
        <v>28</v>
      </c>
      <c r="G29" s="1">
        <v>114408.0714568408</v>
      </c>
      <c r="H29" s="1">
        <v>-9399.7614568408026</v>
      </c>
      <c r="I29" s="8" t="s">
        <v>33</v>
      </c>
      <c r="J29" s="8" t="s">
        <v>34</v>
      </c>
      <c r="K29" s="8" t="s">
        <v>35</v>
      </c>
    </row>
    <row r="30" spans="1:25" x14ac:dyDescent="0.3">
      <c r="A30" s="1">
        <v>66051.520000000004</v>
      </c>
      <c r="B30" s="1">
        <v>182645.56</v>
      </c>
      <c r="C30" s="1">
        <v>118148.2</v>
      </c>
      <c r="D30" t="s">
        <v>7</v>
      </c>
      <c r="E30" s="1">
        <v>103282.38</v>
      </c>
      <c r="F30" s="1">
        <v>29</v>
      </c>
      <c r="G30" s="1">
        <v>101660.02600497453</v>
      </c>
      <c r="H30" s="1">
        <v>1622.3539950254781</v>
      </c>
      <c r="I30">
        <v>1</v>
      </c>
      <c r="J30">
        <v>192521.25289007861</v>
      </c>
      <c r="K30">
        <v>-259.42289007862564</v>
      </c>
    </row>
    <row r="31" spans="1:25" x14ac:dyDescent="0.3">
      <c r="A31" s="1">
        <v>65605.48</v>
      </c>
      <c r="B31" s="1">
        <v>153032.06</v>
      </c>
      <c r="C31" s="1">
        <v>107138.38</v>
      </c>
      <c r="D31" t="s">
        <v>5</v>
      </c>
      <c r="E31" s="1">
        <v>101004.64</v>
      </c>
      <c r="F31" s="1">
        <v>30</v>
      </c>
      <c r="G31" s="1">
        <v>101794.9834517627</v>
      </c>
      <c r="H31" s="1">
        <v>-790.3434517627029</v>
      </c>
      <c r="I31">
        <v>2</v>
      </c>
      <c r="J31">
        <v>189156.76823226505</v>
      </c>
      <c r="K31">
        <v>2635.2917677349469</v>
      </c>
    </row>
    <row r="32" spans="1:25" x14ac:dyDescent="0.3">
      <c r="A32" s="1">
        <v>61994.48</v>
      </c>
      <c r="B32" s="1">
        <v>115641.28</v>
      </c>
      <c r="C32" s="1">
        <v>91131.24</v>
      </c>
      <c r="D32" t="s">
        <v>7</v>
      </c>
      <c r="E32" s="1">
        <v>99937.59</v>
      </c>
      <c r="F32" s="1">
        <v>31</v>
      </c>
      <c r="G32" s="1">
        <v>99452.372936056257</v>
      </c>
      <c r="H32" s="1">
        <v>485.21706394373905</v>
      </c>
      <c r="I32">
        <v>3</v>
      </c>
      <c r="J32">
        <v>182147.2790962049</v>
      </c>
      <c r="K32">
        <v>8903.1109037951101</v>
      </c>
    </row>
    <row r="33" spans="1:11" x14ac:dyDescent="0.3">
      <c r="A33" s="1">
        <v>61136.38</v>
      </c>
      <c r="B33" s="1">
        <v>152701.92000000001</v>
      </c>
      <c r="C33" s="1">
        <v>88218.23</v>
      </c>
      <c r="D33" t="s">
        <v>5</v>
      </c>
      <c r="E33" s="1">
        <v>97483.56</v>
      </c>
      <c r="F33" s="1">
        <v>32</v>
      </c>
      <c r="G33" s="1">
        <v>97687.856275748869</v>
      </c>
      <c r="H33" s="1">
        <v>-204.29627574887127</v>
      </c>
      <c r="I33">
        <v>4</v>
      </c>
      <c r="J33">
        <v>173696.70002553402</v>
      </c>
      <c r="K33">
        <v>9205.2899744659662</v>
      </c>
    </row>
    <row r="34" spans="1:11" x14ac:dyDescent="0.3">
      <c r="A34" s="1">
        <v>63408.86</v>
      </c>
      <c r="B34" s="1">
        <v>129219.61</v>
      </c>
      <c r="C34" s="1">
        <v>46085.25</v>
      </c>
      <c r="D34" t="s">
        <v>6</v>
      </c>
      <c r="E34" s="1">
        <v>97427.839999999997</v>
      </c>
      <c r="F34" s="1">
        <v>33</v>
      </c>
      <c r="G34" s="1">
        <v>99001.328985485539</v>
      </c>
      <c r="H34" s="1">
        <v>-1573.4889854855428</v>
      </c>
      <c r="I34">
        <v>5</v>
      </c>
      <c r="J34">
        <v>172139.51418327194</v>
      </c>
      <c r="K34">
        <v>-5951.5741832719359</v>
      </c>
    </row>
    <row r="35" spans="1:11" x14ac:dyDescent="0.3">
      <c r="A35" s="1">
        <v>55493.95</v>
      </c>
      <c r="B35" s="1">
        <v>103057.49</v>
      </c>
      <c r="C35" s="1">
        <v>214634.81</v>
      </c>
      <c r="D35" t="s">
        <v>7</v>
      </c>
      <c r="E35" s="1">
        <v>96778.92</v>
      </c>
      <c r="F35" s="1">
        <v>34</v>
      </c>
      <c r="G35" s="1">
        <v>97915.007804646128</v>
      </c>
      <c r="H35" s="1">
        <v>-1136.0878046461294</v>
      </c>
      <c r="I35">
        <v>6</v>
      </c>
      <c r="J35">
        <v>163580.78057120083</v>
      </c>
      <c r="K35">
        <v>-6589.6605712008313</v>
      </c>
    </row>
    <row r="36" spans="1:11" x14ac:dyDescent="0.3">
      <c r="A36" s="1">
        <v>46426.07</v>
      </c>
      <c r="B36" s="1">
        <v>157693.92000000001</v>
      </c>
      <c r="C36" s="1">
        <v>210797.67</v>
      </c>
      <c r="D36" t="s">
        <v>6</v>
      </c>
      <c r="E36" s="1">
        <v>96712.8</v>
      </c>
      <c r="F36" s="1">
        <v>35</v>
      </c>
      <c r="G36" s="1">
        <v>89039.273741164317</v>
      </c>
      <c r="H36" s="1">
        <v>7673.5262588356854</v>
      </c>
      <c r="I36">
        <v>7</v>
      </c>
      <c r="J36">
        <v>158114.09666864749</v>
      </c>
      <c r="K36">
        <v>-1991.5866686474765</v>
      </c>
    </row>
    <row r="37" spans="1:11" x14ac:dyDescent="0.3">
      <c r="A37" s="1">
        <v>46014.02</v>
      </c>
      <c r="B37" s="1">
        <v>85047.44</v>
      </c>
      <c r="C37" s="1">
        <v>205517.64</v>
      </c>
      <c r="D37" t="s">
        <v>5</v>
      </c>
      <c r="E37" s="1">
        <v>96479.51</v>
      </c>
      <c r="F37" s="1">
        <v>36</v>
      </c>
      <c r="G37" s="1">
        <v>90511.599567526195</v>
      </c>
      <c r="H37" s="1">
        <v>5967.9104324738</v>
      </c>
      <c r="I37">
        <v>8</v>
      </c>
      <c r="J37">
        <v>160021.36304781117</v>
      </c>
      <c r="K37">
        <v>-4268.7630478111678</v>
      </c>
    </row>
    <row r="38" spans="1:11" x14ac:dyDescent="0.3">
      <c r="A38" s="1">
        <v>28663.759999999998</v>
      </c>
      <c r="B38" s="1">
        <v>127056.21</v>
      </c>
      <c r="C38" s="1">
        <v>201126.82</v>
      </c>
      <c r="D38" t="s">
        <v>7</v>
      </c>
      <c r="E38" s="1">
        <v>90708.19</v>
      </c>
      <c r="F38" s="1">
        <v>37</v>
      </c>
      <c r="G38" s="1">
        <v>75286.174585463974</v>
      </c>
      <c r="H38" s="1">
        <v>15422.015414536028</v>
      </c>
      <c r="I38">
        <v>9</v>
      </c>
      <c r="J38">
        <v>151741.6996986506</v>
      </c>
      <c r="K38">
        <v>470.07030134939123</v>
      </c>
    </row>
    <row r="39" spans="1:11" x14ac:dyDescent="0.3">
      <c r="A39" s="1">
        <v>44069.95</v>
      </c>
      <c r="B39" s="1">
        <v>51283.14</v>
      </c>
      <c r="C39" s="1">
        <v>197029.42</v>
      </c>
      <c r="D39" t="s">
        <v>6</v>
      </c>
      <c r="E39" s="1">
        <v>89949.14</v>
      </c>
      <c r="F39" s="1">
        <v>38</v>
      </c>
      <c r="G39" s="1">
        <v>89619.537707903772</v>
      </c>
      <c r="H39" s="1">
        <v>329.60229209622776</v>
      </c>
      <c r="I39">
        <v>10</v>
      </c>
      <c r="J39">
        <v>154884.68410994846</v>
      </c>
      <c r="K39">
        <v>-5124.7241099484672</v>
      </c>
    </row>
    <row r="40" spans="1:11" x14ac:dyDescent="0.3">
      <c r="A40" s="1">
        <v>20229.59</v>
      </c>
      <c r="B40" s="1">
        <v>65947.929999999993</v>
      </c>
      <c r="C40" s="1">
        <v>185265.1</v>
      </c>
      <c r="D40" t="s">
        <v>5</v>
      </c>
      <c r="E40" s="1">
        <v>81229.06</v>
      </c>
      <c r="F40" s="1">
        <v>39</v>
      </c>
      <c r="G40" s="1">
        <v>69697.430648041249</v>
      </c>
      <c r="H40" s="1">
        <v>11531.629351958749</v>
      </c>
      <c r="I40">
        <v>11</v>
      </c>
      <c r="J40">
        <v>135509.01636714404</v>
      </c>
      <c r="K40">
        <v>10612.933632855973</v>
      </c>
    </row>
    <row r="41" spans="1:11" x14ac:dyDescent="0.3">
      <c r="A41" s="1">
        <v>38558.51</v>
      </c>
      <c r="B41" s="1">
        <v>82982.09</v>
      </c>
      <c r="C41" s="1">
        <v>174999.3</v>
      </c>
      <c r="D41" t="s">
        <v>6</v>
      </c>
      <c r="E41" s="1">
        <v>81005.759999999995</v>
      </c>
      <c r="F41" s="1">
        <v>40</v>
      </c>
      <c r="G41" s="1">
        <v>83729.01197691953</v>
      </c>
      <c r="H41" s="1">
        <v>-2723.2519769195351</v>
      </c>
      <c r="I41">
        <v>12</v>
      </c>
      <c r="J41">
        <v>135573.71296073747</v>
      </c>
      <c r="K41">
        <v>8685.6870392625278</v>
      </c>
    </row>
    <row r="42" spans="1:11" x14ac:dyDescent="0.3">
      <c r="A42" s="1">
        <v>28754.33</v>
      </c>
      <c r="B42" s="1">
        <v>118546.05</v>
      </c>
      <c r="C42" s="1">
        <v>172795.67</v>
      </c>
      <c r="D42" t="s">
        <v>6</v>
      </c>
      <c r="E42" s="1">
        <v>78239.91</v>
      </c>
      <c r="F42" s="1">
        <v>41</v>
      </c>
      <c r="G42" s="1">
        <v>74815.953991047383</v>
      </c>
      <c r="H42" s="1">
        <v>3423.9560089526203</v>
      </c>
      <c r="I42">
        <v>13</v>
      </c>
      <c r="J42">
        <v>129138.05418242674</v>
      </c>
      <c r="K42">
        <v>12447.465817573247</v>
      </c>
    </row>
    <row r="43" spans="1:11" x14ac:dyDescent="0.3">
      <c r="A43" s="1">
        <v>27892.92</v>
      </c>
      <c r="B43" s="1">
        <v>84710.77</v>
      </c>
      <c r="C43" s="1">
        <v>164470.71</v>
      </c>
      <c r="D43" t="s">
        <v>7</v>
      </c>
      <c r="E43" s="1">
        <v>77798.83</v>
      </c>
      <c r="F43" s="1">
        <v>42</v>
      </c>
      <c r="G43" s="1">
        <v>74802.556238662772</v>
      </c>
      <c r="H43" s="1">
        <v>2996.2737613372301</v>
      </c>
      <c r="I43">
        <v>14</v>
      </c>
      <c r="J43">
        <v>127487.9916627536</v>
      </c>
      <c r="K43">
        <v>6819.3583372464054</v>
      </c>
    </row>
    <row r="44" spans="1:11" x14ac:dyDescent="0.3">
      <c r="A44" s="1">
        <v>23640.93</v>
      </c>
      <c r="B44" s="1">
        <v>96189.63</v>
      </c>
      <c r="C44" s="1">
        <v>148001.10999999999</v>
      </c>
      <c r="D44" t="s">
        <v>6</v>
      </c>
      <c r="E44" s="1">
        <v>71498.490000000005</v>
      </c>
      <c r="F44" s="1">
        <v>43</v>
      </c>
      <c r="G44" s="1">
        <v>70620.411820560214</v>
      </c>
      <c r="H44" s="1">
        <v>878.07817943979171</v>
      </c>
      <c r="I44">
        <v>15</v>
      </c>
      <c r="J44">
        <v>149548.64633452875</v>
      </c>
      <c r="K44">
        <v>-16945.996334528754</v>
      </c>
    </row>
    <row r="45" spans="1:11" x14ac:dyDescent="0.3">
      <c r="A45" s="1">
        <v>15505.73</v>
      </c>
      <c r="B45" s="1">
        <v>127382.3</v>
      </c>
      <c r="C45" s="1">
        <v>35534.17</v>
      </c>
      <c r="D45" t="s">
        <v>5</v>
      </c>
      <c r="E45" s="1">
        <v>69758.98</v>
      </c>
      <c r="F45" s="1">
        <v>44</v>
      </c>
      <c r="G45" s="1">
        <v>60167.039963347939</v>
      </c>
      <c r="H45" s="1">
        <v>9591.9400366520567</v>
      </c>
      <c r="I45">
        <v>16</v>
      </c>
      <c r="J45">
        <v>146235.15998519622</v>
      </c>
      <c r="K45">
        <v>-16318.11998519623</v>
      </c>
    </row>
    <row r="46" spans="1:11" x14ac:dyDescent="0.3">
      <c r="A46" s="1">
        <v>22177.74</v>
      </c>
      <c r="B46" s="1">
        <v>154806.14000000001</v>
      </c>
      <c r="C46" s="1">
        <v>28334.720000000001</v>
      </c>
      <c r="D46" t="s">
        <v>6</v>
      </c>
      <c r="E46" s="1">
        <v>65200.33</v>
      </c>
      <c r="F46" s="1">
        <v>45</v>
      </c>
      <c r="G46" s="1">
        <v>64611.354915703319</v>
      </c>
      <c r="H46" s="1">
        <v>588.97508429668233</v>
      </c>
      <c r="I46">
        <v>17</v>
      </c>
      <c r="J46">
        <v>116915.40540143967</v>
      </c>
      <c r="K46">
        <v>10077.524598560325</v>
      </c>
    </row>
    <row r="47" spans="1:11" x14ac:dyDescent="0.3">
      <c r="A47" s="1">
        <v>1000.23</v>
      </c>
      <c r="B47" s="1">
        <v>124153.04</v>
      </c>
      <c r="C47" s="1">
        <v>1903.93</v>
      </c>
      <c r="D47" t="s">
        <v>5</v>
      </c>
      <c r="E47" s="1">
        <v>64926.080000000002</v>
      </c>
      <c r="F47" s="1">
        <v>46</v>
      </c>
      <c r="G47" s="1">
        <v>47650.649686906458</v>
      </c>
      <c r="H47" s="1">
        <v>17275.430313093544</v>
      </c>
      <c r="I47">
        <v>18</v>
      </c>
      <c r="J47">
        <v>130192.44720780753</v>
      </c>
      <c r="K47">
        <v>-4822.0772078075388</v>
      </c>
    </row>
    <row r="48" spans="1:11" x14ac:dyDescent="0.3">
      <c r="A48" s="1">
        <v>1315.46</v>
      </c>
      <c r="B48" s="1">
        <v>115816.21</v>
      </c>
      <c r="C48" s="1">
        <v>297114.46000000002</v>
      </c>
      <c r="D48" t="s">
        <v>7</v>
      </c>
      <c r="E48" s="1">
        <v>49490.75</v>
      </c>
      <c r="F48" s="1">
        <v>47</v>
      </c>
      <c r="G48" s="1">
        <v>56166.206852607917</v>
      </c>
      <c r="H48" s="1">
        <v>-6675.4568526079165</v>
      </c>
      <c r="I48">
        <v>19</v>
      </c>
      <c r="J48">
        <v>129014.22680589673</v>
      </c>
      <c r="K48">
        <v>-4747.3268058967369</v>
      </c>
    </row>
    <row r="49" spans="1:11" x14ac:dyDescent="0.3">
      <c r="A49" s="1">
        <v>0</v>
      </c>
      <c r="B49" s="1">
        <v>135426.92000000001</v>
      </c>
      <c r="C49" s="1">
        <v>0</v>
      </c>
      <c r="D49" t="s">
        <v>6</v>
      </c>
      <c r="E49" s="1">
        <v>42559.73</v>
      </c>
      <c r="F49" s="1">
        <v>48</v>
      </c>
      <c r="G49" s="1">
        <v>46490.588983346803</v>
      </c>
      <c r="H49" s="1">
        <v>-3930.8589833467995</v>
      </c>
      <c r="I49">
        <v>20</v>
      </c>
      <c r="J49">
        <v>115635.21636716051</v>
      </c>
      <c r="K49">
        <v>7141.6436328394921</v>
      </c>
    </row>
    <row r="50" spans="1:11" x14ac:dyDescent="0.3">
      <c r="A50" s="1">
        <v>542.04999999999995</v>
      </c>
      <c r="B50" s="1">
        <v>51743.15</v>
      </c>
      <c r="C50" s="1">
        <v>0</v>
      </c>
      <c r="D50" t="s">
        <v>5</v>
      </c>
      <c r="E50" s="1">
        <v>35673.410000000003</v>
      </c>
      <c r="F50" s="1">
        <v>49</v>
      </c>
      <c r="G50" s="1">
        <v>49171.388157627247</v>
      </c>
      <c r="H50" s="1">
        <v>-13497.978157627243</v>
      </c>
      <c r="I50">
        <v>21</v>
      </c>
      <c r="J50">
        <v>116639.66923089999</v>
      </c>
      <c r="K50">
        <v>1834.360769100007</v>
      </c>
    </row>
    <row r="51" spans="1:11" ht="15" thickBot="1" x14ac:dyDescent="0.35">
      <c r="A51" s="1">
        <v>0</v>
      </c>
      <c r="B51" s="1">
        <v>116983.8</v>
      </c>
      <c r="C51" s="1">
        <v>45173.06</v>
      </c>
      <c r="D51" t="s">
        <v>6</v>
      </c>
      <c r="E51" s="1">
        <v>14681.4</v>
      </c>
      <c r="F51" s="12">
        <v>50</v>
      </c>
      <c r="G51" s="12">
        <v>48215.134111298677</v>
      </c>
      <c r="H51" s="12">
        <v>-33533.734111298676</v>
      </c>
      <c r="I51">
        <v>22</v>
      </c>
      <c r="J51">
        <v>117319.45164029335</v>
      </c>
      <c r="K51">
        <v>-6006.4316402933473</v>
      </c>
    </row>
    <row r="52" spans="1:11" x14ac:dyDescent="0.3">
      <c r="I52">
        <v>23</v>
      </c>
      <c r="J52">
        <v>114706.98171695457</v>
      </c>
      <c r="K52">
        <v>-4354.7317169545713</v>
      </c>
    </row>
    <row r="53" spans="1:11" x14ac:dyDescent="0.3">
      <c r="I53">
        <v>24</v>
      </c>
      <c r="J53">
        <v>109996.61522126263</v>
      </c>
      <c r="K53">
        <v>-1262.6252212626277</v>
      </c>
    </row>
    <row r="54" spans="1:11" x14ac:dyDescent="0.3">
      <c r="I54">
        <v>25</v>
      </c>
      <c r="J54">
        <v>113362.96611313859</v>
      </c>
      <c r="K54">
        <v>-4810.9261131386011</v>
      </c>
    </row>
    <row r="55" spans="1:11" ht="31.2" x14ac:dyDescent="0.3">
      <c r="A55" s="6" t="s">
        <v>36</v>
      </c>
      <c r="B55" s="6" t="s">
        <v>1</v>
      </c>
      <c r="C55" s="6" t="s">
        <v>37</v>
      </c>
      <c r="D55" s="7" t="s">
        <v>4</v>
      </c>
      <c r="I55">
        <v>26</v>
      </c>
      <c r="J55">
        <v>102237.72506480548</v>
      </c>
      <c r="K55">
        <v>5166.6149351945205</v>
      </c>
    </row>
    <row r="56" spans="1:11" ht="18" x14ac:dyDescent="0.3">
      <c r="A56" s="5">
        <v>21892.92</v>
      </c>
      <c r="B56" s="5">
        <v>81910.77</v>
      </c>
      <c r="C56" s="5">
        <v>164270.70000000001</v>
      </c>
      <c r="D56" s="5">
        <f>(J21*A56)+(J22*B56)+(J23*C56)+J20</f>
        <v>70037.904765432817</v>
      </c>
      <c r="I56">
        <v>27</v>
      </c>
      <c r="J56">
        <v>110600.57535029967</v>
      </c>
      <c r="K56">
        <v>-4867.0353502996732</v>
      </c>
    </row>
    <row r="57" spans="1:11" ht="18" x14ac:dyDescent="0.3">
      <c r="A57" s="5">
        <v>23940.93</v>
      </c>
      <c r="B57" s="5">
        <v>96489.63</v>
      </c>
      <c r="C57" s="5">
        <v>137001.1</v>
      </c>
      <c r="D57" s="5">
        <f>(J21*A57)+(J22*B57)+(J23*C57)+J20</f>
        <v>70554.572559926848</v>
      </c>
      <c r="I57">
        <v>28</v>
      </c>
      <c r="J57">
        <v>114408.0714568408</v>
      </c>
      <c r="K57">
        <v>-9399.7614568408026</v>
      </c>
    </row>
    <row r="58" spans="1:11" x14ac:dyDescent="0.3">
      <c r="I58">
        <v>29</v>
      </c>
      <c r="J58">
        <v>101660.02600497453</v>
      </c>
      <c r="K58">
        <v>1622.3539950254781</v>
      </c>
    </row>
    <row r="59" spans="1:11" x14ac:dyDescent="0.3">
      <c r="I59">
        <v>30</v>
      </c>
      <c r="J59">
        <v>101794.9834517627</v>
      </c>
      <c r="K59">
        <v>-790.3434517627029</v>
      </c>
    </row>
    <row r="60" spans="1:11" x14ac:dyDescent="0.3">
      <c r="I60">
        <v>31</v>
      </c>
      <c r="J60">
        <v>99452.372936056257</v>
      </c>
      <c r="K60">
        <v>485.21706394373905</v>
      </c>
    </row>
    <row r="61" spans="1:11" x14ac:dyDescent="0.3">
      <c r="I61">
        <v>32</v>
      </c>
      <c r="J61">
        <v>97687.856275748869</v>
      </c>
      <c r="K61">
        <v>-204.29627574887127</v>
      </c>
    </row>
    <row r="62" spans="1:11" x14ac:dyDescent="0.3">
      <c r="I62">
        <v>33</v>
      </c>
      <c r="J62">
        <v>99001.328985485539</v>
      </c>
      <c r="K62">
        <v>-1573.4889854855428</v>
      </c>
    </row>
    <row r="63" spans="1:11" x14ac:dyDescent="0.3">
      <c r="I63">
        <v>34</v>
      </c>
      <c r="J63">
        <v>97915.007804646128</v>
      </c>
      <c r="K63">
        <v>-1136.0878046461294</v>
      </c>
    </row>
    <row r="64" spans="1:11" x14ac:dyDescent="0.3">
      <c r="I64">
        <v>35</v>
      </c>
      <c r="J64">
        <v>89039.273741164317</v>
      </c>
      <c r="K64">
        <v>7673.5262588356854</v>
      </c>
    </row>
    <row r="65" spans="9:11" x14ac:dyDescent="0.3">
      <c r="I65">
        <v>36</v>
      </c>
      <c r="J65">
        <v>90511.599567526195</v>
      </c>
      <c r="K65">
        <v>5967.9104324738</v>
      </c>
    </row>
    <row r="66" spans="9:11" x14ac:dyDescent="0.3">
      <c r="I66">
        <v>37</v>
      </c>
      <c r="J66">
        <v>75286.174585463974</v>
      </c>
      <c r="K66">
        <v>15422.015414536028</v>
      </c>
    </row>
    <row r="67" spans="9:11" x14ac:dyDescent="0.3">
      <c r="I67">
        <v>38</v>
      </c>
      <c r="J67">
        <v>89619.537707903772</v>
      </c>
      <c r="K67">
        <v>329.60229209622776</v>
      </c>
    </row>
    <row r="68" spans="9:11" x14ac:dyDescent="0.3">
      <c r="I68">
        <v>39</v>
      </c>
      <c r="J68">
        <v>69697.430648041249</v>
      </c>
      <c r="K68">
        <v>11531.629351958749</v>
      </c>
    </row>
    <row r="69" spans="9:11" x14ac:dyDescent="0.3">
      <c r="I69">
        <v>40</v>
      </c>
      <c r="J69">
        <v>83729.01197691953</v>
      </c>
      <c r="K69">
        <v>-2723.2519769195351</v>
      </c>
    </row>
    <row r="70" spans="9:11" x14ac:dyDescent="0.3">
      <c r="I70">
        <v>41</v>
      </c>
      <c r="J70">
        <v>74815.953991047383</v>
      </c>
      <c r="K70">
        <v>3423.9560089526203</v>
      </c>
    </row>
    <row r="71" spans="9:11" x14ac:dyDescent="0.3">
      <c r="I71">
        <v>42</v>
      </c>
      <c r="J71">
        <v>74802.556238662772</v>
      </c>
      <c r="K71">
        <v>2996.2737613372301</v>
      </c>
    </row>
    <row r="72" spans="9:11" x14ac:dyDescent="0.3">
      <c r="I72">
        <v>43</v>
      </c>
      <c r="J72">
        <v>70620.411820560214</v>
      </c>
      <c r="K72">
        <v>878.07817943979171</v>
      </c>
    </row>
    <row r="73" spans="9:11" x14ac:dyDescent="0.3">
      <c r="I73">
        <v>44</v>
      </c>
      <c r="J73">
        <v>60167.039963347939</v>
      </c>
      <c r="K73">
        <v>9591.9400366520567</v>
      </c>
    </row>
    <row r="74" spans="9:11" x14ac:dyDescent="0.3">
      <c r="I74">
        <v>45</v>
      </c>
      <c r="J74">
        <v>64611.354915703319</v>
      </c>
      <c r="K74">
        <v>588.97508429668233</v>
      </c>
    </row>
    <row r="75" spans="9:11" x14ac:dyDescent="0.3">
      <c r="I75">
        <v>46</v>
      </c>
      <c r="J75">
        <v>47650.649686906458</v>
      </c>
      <c r="K75">
        <v>17275.430313093544</v>
      </c>
    </row>
    <row r="76" spans="9:11" x14ac:dyDescent="0.3">
      <c r="I76">
        <v>47</v>
      </c>
      <c r="J76">
        <v>56166.206852607917</v>
      </c>
      <c r="K76">
        <v>-6675.4568526079165</v>
      </c>
    </row>
    <row r="77" spans="9:11" x14ac:dyDescent="0.3">
      <c r="I77">
        <v>48</v>
      </c>
      <c r="J77">
        <v>46490.588983346803</v>
      </c>
      <c r="K77">
        <v>-3930.8589833467995</v>
      </c>
    </row>
    <row r="78" spans="9:11" x14ac:dyDescent="0.3">
      <c r="I78">
        <v>49</v>
      </c>
      <c r="J78">
        <v>49171.388157627247</v>
      </c>
      <c r="K78">
        <v>-13497.978157627243</v>
      </c>
    </row>
    <row r="79" spans="9:11" ht="15" thickBot="1" x14ac:dyDescent="0.35">
      <c r="I79" s="2">
        <v>50</v>
      </c>
      <c r="J79" s="2">
        <v>48215.134111298677</v>
      </c>
      <c r="K79" s="2">
        <v>-33533.734111298676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22B8-6486-4815-9FF6-54C29FD6138E}">
  <sheetPr codeName="Sheet3"/>
  <dimension ref="A1:H57"/>
  <sheetViews>
    <sheetView topLeftCell="A20" zoomScale="101" workbookViewId="0">
      <selection activeCell="Q13" sqref="Q13"/>
    </sheetView>
  </sheetViews>
  <sheetFormatPr defaultRowHeight="14.4" x14ac:dyDescent="0.3"/>
  <cols>
    <col min="1" max="1" width="12.109375" bestFit="1" customWidth="1"/>
    <col min="2" max="2" width="16.5546875" bestFit="1" customWidth="1"/>
    <col min="3" max="3" width="18.77734375" bestFit="1" customWidth="1"/>
    <col min="4" max="4" width="9.109375" bestFit="1" customWidth="1"/>
    <col min="5" max="5" width="8.109375" bestFit="1" customWidth="1"/>
    <col min="6" max="6" width="16.77734375" bestFit="1" customWidth="1"/>
    <col min="7" max="7" width="19.77734375" bestFit="1" customWidth="1"/>
    <col min="8" max="8" width="14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t="s">
        <v>3</v>
      </c>
      <c r="E1" s="1" t="s">
        <v>4</v>
      </c>
      <c r="F1" s="8" t="s">
        <v>33</v>
      </c>
      <c r="G1" s="8" t="s">
        <v>34</v>
      </c>
      <c r="H1" s="8" t="s">
        <v>35</v>
      </c>
    </row>
    <row r="2" spans="1:8" x14ac:dyDescent="0.3">
      <c r="A2" s="1">
        <v>165349.20000000001</v>
      </c>
      <c r="B2" s="1">
        <v>136897.79999999999</v>
      </c>
      <c r="C2" s="1">
        <v>471784.1</v>
      </c>
      <c r="D2" t="s">
        <v>5</v>
      </c>
      <c r="E2" s="1">
        <v>192261.83</v>
      </c>
      <c r="F2" s="1">
        <v>1</v>
      </c>
      <c r="G2" s="1">
        <v>192521.25289007861</v>
      </c>
      <c r="H2" s="1">
        <v>-259.42289007862564</v>
      </c>
    </row>
    <row r="3" spans="1:8" x14ac:dyDescent="0.3">
      <c r="A3" s="1">
        <v>162597.70000000001</v>
      </c>
      <c r="B3" s="1">
        <v>151377.59</v>
      </c>
      <c r="C3" s="1">
        <v>443898.53</v>
      </c>
      <c r="D3" t="s">
        <v>6</v>
      </c>
      <c r="E3" s="1">
        <v>191792.06</v>
      </c>
      <c r="F3" s="1">
        <v>2</v>
      </c>
      <c r="G3" s="1">
        <v>189156.76823226505</v>
      </c>
      <c r="H3" s="1">
        <v>2635.2917677349469</v>
      </c>
    </row>
    <row r="4" spans="1:8" x14ac:dyDescent="0.3">
      <c r="A4" s="1">
        <v>153441.51</v>
      </c>
      <c r="B4" s="1">
        <v>101145.55</v>
      </c>
      <c r="C4" s="1">
        <v>407934.54</v>
      </c>
      <c r="D4" t="s">
        <v>7</v>
      </c>
      <c r="E4" s="1">
        <v>191050.39</v>
      </c>
      <c r="F4" s="1">
        <v>3</v>
      </c>
      <c r="G4" s="1">
        <v>182147.2790962049</v>
      </c>
      <c r="H4" s="1">
        <v>8903.1109037951101</v>
      </c>
    </row>
    <row r="5" spans="1:8" x14ac:dyDescent="0.3">
      <c r="A5" s="1">
        <v>144372.41</v>
      </c>
      <c r="B5" s="1">
        <v>118671.85</v>
      </c>
      <c r="C5" s="1">
        <v>383199.62</v>
      </c>
      <c r="D5" t="s">
        <v>5</v>
      </c>
      <c r="E5" s="1">
        <v>182901.99</v>
      </c>
      <c r="F5" s="1">
        <v>4</v>
      </c>
      <c r="G5" s="1">
        <v>173696.70002553402</v>
      </c>
      <c r="H5" s="1">
        <v>9205.2899744659662</v>
      </c>
    </row>
    <row r="6" spans="1:8" x14ac:dyDescent="0.3">
      <c r="A6" s="1">
        <v>142107.34</v>
      </c>
      <c r="B6" s="1">
        <v>91391.77</v>
      </c>
      <c r="C6" s="1">
        <v>366168.42</v>
      </c>
      <c r="D6" t="s">
        <v>7</v>
      </c>
      <c r="E6" s="1">
        <v>166187.94</v>
      </c>
      <c r="F6" s="1">
        <v>5</v>
      </c>
      <c r="G6" s="1">
        <v>172139.51418327194</v>
      </c>
      <c r="H6" s="1">
        <v>-5951.5741832719359</v>
      </c>
    </row>
    <row r="7" spans="1:8" x14ac:dyDescent="0.3">
      <c r="A7" s="1">
        <v>131876.9</v>
      </c>
      <c r="B7" s="1">
        <v>99814.71</v>
      </c>
      <c r="C7" s="1">
        <v>362861.36</v>
      </c>
      <c r="D7" t="s">
        <v>5</v>
      </c>
      <c r="E7" s="1">
        <v>156991.12</v>
      </c>
      <c r="F7" s="1">
        <v>6</v>
      </c>
      <c r="G7" s="1">
        <v>163580.78057120083</v>
      </c>
      <c r="H7" s="1">
        <v>-6589.6605712008313</v>
      </c>
    </row>
    <row r="8" spans="1:8" x14ac:dyDescent="0.3">
      <c r="A8" s="1">
        <v>134615.46</v>
      </c>
      <c r="B8" s="1">
        <v>147198.87</v>
      </c>
      <c r="C8" s="1">
        <v>127716.82</v>
      </c>
      <c r="D8" t="s">
        <v>6</v>
      </c>
      <c r="E8" s="1">
        <v>156122.51</v>
      </c>
      <c r="F8" s="1">
        <v>7</v>
      </c>
      <c r="G8" s="1">
        <v>158114.09666864749</v>
      </c>
      <c r="H8" s="1">
        <v>-1991.5866686474765</v>
      </c>
    </row>
    <row r="9" spans="1:8" x14ac:dyDescent="0.3">
      <c r="A9" s="1">
        <v>130298.13</v>
      </c>
      <c r="B9" s="1">
        <v>145530.06</v>
      </c>
      <c r="C9" s="1">
        <v>323876.68</v>
      </c>
      <c r="D9" t="s">
        <v>7</v>
      </c>
      <c r="E9" s="1">
        <v>155752.6</v>
      </c>
      <c r="F9" s="1">
        <v>8</v>
      </c>
      <c r="G9" s="1">
        <v>160021.36304781117</v>
      </c>
      <c r="H9" s="1">
        <v>-4268.7630478111678</v>
      </c>
    </row>
    <row r="10" spans="1:8" x14ac:dyDescent="0.3">
      <c r="A10" s="1">
        <v>120542.52</v>
      </c>
      <c r="B10" s="1">
        <v>148718.95000000001</v>
      </c>
      <c r="C10" s="1">
        <v>311613.28999999998</v>
      </c>
      <c r="D10" t="s">
        <v>5</v>
      </c>
      <c r="E10" s="1">
        <v>152211.76999999999</v>
      </c>
      <c r="F10" s="1">
        <v>9</v>
      </c>
      <c r="G10" s="1">
        <v>151741.6996986506</v>
      </c>
      <c r="H10" s="1">
        <v>470.07030134939123</v>
      </c>
    </row>
    <row r="11" spans="1:8" x14ac:dyDescent="0.3">
      <c r="A11" s="1">
        <v>123334.88</v>
      </c>
      <c r="B11" s="1">
        <v>108679.17</v>
      </c>
      <c r="C11" s="1">
        <v>304981.62</v>
      </c>
      <c r="D11" t="s">
        <v>6</v>
      </c>
      <c r="E11" s="1">
        <v>149759.96</v>
      </c>
      <c r="F11" s="1">
        <v>10</v>
      </c>
      <c r="G11" s="1">
        <v>154884.68410994846</v>
      </c>
      <c r="H11" s="1">
        <v>-5124.7241099484672</v>
      </c>
    </row>
    <row r="12" spans="1:8" x14ac:dyDescent="0.3">
      <c r="A12" s="1">
        <v>101913.08</v>
      </c>
      <c r="B12" s="1">
        <v>110594.11</v>
      </c>
      <c r="C12" s="1">
        <v>229160.95</v>
      </c>
      <c r="D12" t="s">
        <v>7</v>
      </c>
      <c r="E12" s="1">
        <v>146121.95000000001</v>
      </c>
      <c r="F12" s="1">
        <v>11</v>
      </c>
      <c r="G12" s="1">
        <v>135509.01636714404</v>
      </c>
      <c r="H12" s="1">
        <v>10612.933632855973</v>
      </c>
    </row>
    <row r="13" spans="1:8" x14ac:dyDescent="0.3">
      <c r="A13" s="1">
        <v>100671.96</v>
      </c>
      <c r="B13" s="1">
        <v>91790.61</v>
      </c>
      <c r="C13" s="1">
        <v>249744.55</v>
      </c>
      <c r="D13" t="s">
        <v>6</v>
      </c>
      <c r="E13" s="1">
        <v>144259.4</v>
      </c>
      <c r="F13" s="1">
        <v>12</v>
      </c>
      <c r="G13" s="1">
        <v>135573.71296073747</v>
      </c>
      <c r="H13" s="1">
        <v>8685.6870392625278</v>
      </c>
    </row>
    <row r="14" spans="1:8" x14ac:dyDescent="0.3">
      <c r="A14" s="1">
        <v>93863.75</v>
      </c>
      <c r="B14" s="1">
        <v>127320.38</v>
      </c>
      <c r="C14" s="1">
        <v>249839.44</v>
      </c>
      <c r="D14" t="s">
        <v>7</v>
      </c>
      <c r="E14" s="1">
        <v>141585.51999999999</v>
      </c>
      <c r="F14" s="1">
        <v>13</v>
      </c>
      <c r="G14" s="1">
        <v>129138.05418242674</v>
      </c>
      <c r="H14" s="1">
        <v>12447.465817573247</v>
      </c>
    </row>
    <row r="15" spans="1:8" x14ac:dyDescent="0.3">
      <c r="A15" s="1">
        <v>91992.39</v>
      </c>
      <c r="B15" s="1">
        <v>135495.07</v>
      </c>
      <c r="C15" s="1">
        <v>252664.93</v>
      </c>
      <c r="D15" t="s">
        <v>6</v>
      </c>
      <c r="E15" s="1">
        <v>134307.35</v>
      </c>
      <c r="F15" s="1">
        <v>14</v>
      </c>
      <c r="G15" s="1">
        <v>127487.9916627536</v>
      </c>
      <c r="H15" s="1">
        <v>6819.3583372464054</v>
      </c>
    </row>
    <row r="16" spans="1:8" x14ac:dyDescent="0.3">
      <c r="A16" s="1">
        <v>119943.24</v>
      </c>
      <c r="B16" s="1">
        <v>156547.42000000001</v>
      </c>
      <c r="C16" s="1">
        <v>256512.92</v>
      </c>
      <c r="D16" t="s">
        <v>7</v>
      </c>
      <c r="E16" s="1">
        <v>132602.65</v>
      </c>
      <c r="F16" s="1">
        <v>15</v>
      </c>
      <c r="G16" s="1">
        <v>149548.64633452875</v>
      </c>
      <c r="H16" s="1">
        <v>-16945.996334528754</v>
      </c>
    </row>
    <row r="17" spans="1:8" x14ac:dyDescent="0.3">
      <c r="A17" s="1">
        <v>114523.61</v>
      </c>
      <c r="B17" s="1">
        <v>122616.84</v>
      </c>
      <c r="C17" s="1">
        <v>261776.23</v>
      </c>
      <c r="D17" t="s">
        <v>5</v>
      </c>
      <c r="E17" s="1">
        <v>129917.04</v>
      </c>
      <c r="F17" s="1">
        <v>16</v>
      </c>
      <c r="G17" s="1">
        <v>146235.15998519622</v>
      </c>
      <c r="H17" s="1">
        <v>-16318.11998519623</v>
      </c>
    </row>
    <row r="18" spans="1:8" x14ac:dyDescent="0.3">
      <c r="A18" s="1">
        <v>78013.11</v>
      </c>
      <c r="B18" s="1">
        <v>121597.55</v>
      </c>
      <c r="C18" s="1">
        <v>264346.06</v>
      </c>
      <c r="D18" t="s">
        <v>6</v>
      </c>
      <c r="E18" s="1">
        <v>126992.93</v>
      </c>
      <c r="F18" s="1">
        <v>17</v>
      </c>
      <c r="G18" s="1">
        <v>116915.40540143967</v>
      </c>
      <c r="H18" s="1">
        <v>10077.524598560325</v>
      </c>
    </row>
    <row r="19" spans="1:8" x14ac:dyDescent="0.3">
      <c r="A19" s="1">
        <v>94657.16</v>
      </c>
      <c r="B19" s="1">
        <v>145077.57999999999</v>
      </c>
      <c r="C19" s="1">
        <v>282574.31</v>
      </c>
      <c r="D19" t="s">
        <v>5</v>
      </c>
      <c r="E19" s="1">
        <v>125370.37</v>
      </c>
      <c r="F19" s="1">
        <v>18</v>
      </c>
      <c r="G19" s="1">
        <v>130192.44720780753</v>
      </c>
      <c r="H19" s="1">
        <v>-4822.0772078075388</v>
      </c>
    </row>
    <row r="20" spans="1:8" x14ac:dyDescent="0.3">
      <c r="A20" s="1">
        <v>91749.16</v>
      </c>
      <c r="B20" s="1">
        <v>114175.79</v>
      </c>
      <c r="C20" s="1">
        <v>294919.57</v>
      </c>
      <c r="D20" t="s">
        <v>7</v>
      </c>
      <c r="E20" s="1">
        <v>124266.9</v>
      </c>
      <c r="F20" s="1">
        <v>19</v>
      </c>
      <c r="G20" s="1">
        <v>129014.22680589673</v>
      </c>
      <c r="H20" s="1">
        <v>-4747.3268058967369</v>
      </c>
    </row>
    <row r="21" spans="1:8" x14ac:dyDescent="0.3">
      <c r="A21" s="1">
        <v>86419.7</v>
      </c>
      <c r="B21" s="1">
        <v>153514.10999999999</v>
      </c>
      <c r="C21" s="1">
        <v>0</v>
      </c>
      <c r="D21" t="s">
        <v>5</v>
      </c>
      <c r="E21" s="1">
        <v>122776.86</v>
      </c>
      <c r="F21" s="1">
        <v>20</v>
      </c>
      <c r="G21" s="1">
        <v>115635.21636716051</v>
      </c>
      <c r="H21" s="1">
        <v>7141.6436328394921</v>
      </c>
    </row>
    <row r="22" spans="1:8" x14ac:dyDescent="0.3">
      <c r="A22" s="1">
        <v>76253.86</v>
      </c>
      <c r="B22" s="1">
        <v>113867.3</v>
      </c>
      <c r="C22" s="1">
        <v>298664.46999999997</v>
      </c>
      <c r="D22" t="s">
        <v>6</v>
      </c>
      <c r="E22" s="1">
        <v>118474.03</v>
      </c>
      <c r="F22" s="1">
        <v>21</v>
      </c>
      <c r="G22" s="1">
        <v>116639.66923089999</v>
      </c>
      <c r="H22" s="1">
        <v>1834.360769100007</v>
      </c>
    </row>
    <row r="23" spans="1:8" x14ac:dyDescent="0.3">
      <c r="A23" s="1">
        <v>78389.47</v>
      </c>
      <c r="B23" s="1">
        <v>153773.43</v>
      </c>
      <c r="C23" s="1">
        <v>299737.28999999998</v>
      </c>
      <c r="D23" t="s">
        <v>5</v>
      </c>
      <c r="E23" s="1">
        <v>111313.02</v>
      </c>
      <c r="F23" s="1">
        <v>22</v>
      </c>
      <c r="G23" s="1">
        <v>117319.45164029335</v>
      </c>
      <c r="H23" s="1">
        <v>-6006.4316402933473</v>
      </c>
    </row>
    <row r="24" spans="1:8" x14ac:dyDescent="0.3">
      <c r="A24" s="1">
        <v>73994.559999999998</v>
      </c>
      <c r="B24" s="1">
        <v>122782.75</v>
      </c>
      <c r="C24" s="1">
        <v>303319.26</v>
      </c>
      <c r="D24" t="s">
        <v>7</v>
      </c>
      <c r="E24" s="1">
        <v>110352.25</v>
      </c>
      <c r="F24" s="1">
        <v>23</v>
      </c>
      <c r="G24" s="1">
        <v>114706.98171695457</v>
      </c>
      <c r="H24" s="1">
        <v>-4354.7317169545713</v>
      </c>
    </row>
    <row r="25" spans="1:8" x14ac:dyDescent="0.3">
      <c r="A25" s="1">
        <v>67532.53</v>
      </c>
      <c r="B25" s="1">
        <v>105751.03</v>
      </c>
      <c r="C25" s="1">
        <v>304768.73</v>
      </c>
      <c r="D25" t="s">
        <v>7</v>
      </c>
      <c r="E25" s="1">
        <v>108733.99</v>
      </c>
      <c r="F25" s="1">
        <v>24</v>
      </c>
      <c r="G25" s="1">
        <v>109996.61522126263</v>
      </c>
      <c r="H25" s="1">
        <v>-1262.6252212626277</v>
      </c>
    </row>
    <row r="26" spans="1:8" x14ac:dyDescent="0.3">
      <c r="A26" s="1">
        <v>77044.009999999995</v>
      </c>
      <c r="B26" s="1">
        <v>99281.34</v>
      </c>
      <c r="C26" s="1">
        <v>140574.81</v>
      </c>
      <c r="D26" t="s">
        <v>5</v>
      </c>
      <c r="E26" s="1">
        <v>108552.04</v>
      </c>
      <c r="F26" s="1">
        <v>25</v>
      </c>
      <c r="G26" s="1">
        <v>113362.96611313859</v>
      </c>
      <c r="H26" s="1">
        <v>-4810.9261131386011</v>
      </c>
    </row>
    <row r="27" spans="1:8" x14ac:dyDescent="0.3">
      <c r="A27" s="1">
        <v>64664.71</v>
      </c>
      <c r="B27" s="1">
        <v>139553.16</v>
      </c>
      <c r="C27" s="1">
        <v>137962.62</v>
      </c>
      <c r="D27" t="s">
        <v>6</v>
      </c>
      <c r="E27" s="1">
        <v>107404.34</v>
      </c>
      <c r="F27" s="1">
        <v>26</v>
      </c>
      <c r="G27" s="1">
        <v>102237.72506480548</v>
      </c>
      <c r="H27" s="1">
        <v>5166.6149351945205</v>
      </c>
    </row>
    <row r="28" spans="1:8" x14ac:dyDescent="0.3">
      <c r="A28" s="1">
        <v>75328.87</v>
      </c>
      <c r="B28" s="1">
        <v>144135.98000000001</v>
      </c>
      <c r="C28" s="1">
        <v>134050.07</v>
      </c>
      <c r="D28" t="s">
        <v>7</v>
      </c>
      <c r="E28" s="1">
        <v>105733.54</v>
      </c>
      <c r="F28" s="1">
        <v>27</v>
      </c>
      <c r="G28" s="1">
        <v>110600.57535029967</v>
      </c>
      <c r="H28" s="1">
        <v>-4867.0353502996732</v>
      </c>
    </row>
    <row r="29" spans="1:8" x14ac:dyDescent="0.3">
      <c r="A29" s="1">
        <v>72107.600000000006</v>
      </c>
      <c r="B29" s="1">
        <v>127864.55</v>
      </c>
      <c r="C29" s="1">
        <v>353183.81</v>
      </c>
      <c r="D29" t="s">
        <v>5</v>
      </c>
      <c r="E29" s="1">
        <v>105008.31</v>
      </c>
      <c r="F29" s="1">
        <v>28</v>
      </c>
      <c r="G29" s="1">
        <v>114408.0714568408</v>
      </c>
      <c r="H29" s="1">
        <v>-9399.7614568408026</v>
      </c>
    </row>
    <row r="30" spans="1:8" x14ac:dyDescent="0.3">
      <c r="A30" s="1">
        <v>66051.520000000004</v>
      </c>
      <c r="B30" s="1">
        <v>182645.56</v>
      </c>
      <c r="C30" s="1">
        <v>118148.2</v>
      </c>
      <c r="D30" t="s">
        <v>7</v>
      </c>
      <c r="E30" s="1">
        <v>103282.38</v>
      </c>
      <c r="F30" s="1">
        <v>29</v>
      </c>
      <c r="G30" s="1">
        <v>101660.02600497453</v>
      </c>
      <c r="H30" s="1">
        <v>1622.3539950254781</v>
      </c>
    </row>
    <row r="31" spans="1:8" x14ac:dyDescent="0.3">
      <c r="A31" s="1">
        <v>65605.48</v>
      </c>
      <c r="B31" s="1">
        <v>153032.06</v>
      </c>
      <c r="C31" s="1">
        <v>107138.38</v>
      </c>
      <c r="D31" t="s">
        <v>5</v>
      </c>
      <c r="E31" s="1">
        <v>101004.64</v>
      </c>
      <c r="F31" s="1">
        <v>30</v>
      </c>
      <c r="G31" s="1">
        <v>101794.9834517627</v>
      </c>
      <c r="H31" s="1">
        <v>-790.3434517627029</v>
      </c>
    </row>
    <row r="32" spans="1:8" x14ac:dyDescent="0.3">
      <c r="A32" s="1">
        <v>61994.48</v>
      </c>
      <c r="B32" s="1">
        <v>115641.28</v>
      </c>
      <c r="C32" s="1">
        <v>91131.24</v>
      </c>
      <c r="D32" t="s">
        <v>7</v>
      </c>
      <c r="E32" s="1">
        <v>99937.59</v>
      </c>
      <c r="F32" s="1">
        <v>31</v>
      </c>
      <c r="G32" s="1">
        <v>99452.372936056257</v>
      </c>
      <c r="H32" s="1">
        <v>485.21706394373905</v>
      </c>
    </row>
    <row r="33" spans="1:8" x14ac:dyDescent="0.3">
      <c r="A33" s="1">
        <v>61136.38</v>
      </c>
      <c r="B33" s="1">
        <v>152701.92000000001</v>
      </c>
      <c r="C33" s="1">
        <v>88218.23</v>
      </c>
      <c r="D33" t="s">
        <v>5</v>
      </c>
      <c r="E33" s="1">
        <v>97483.56</v>
      </c>
      <c r="F33" s="1">
        <v>32</v>
      </c>
      <c r="G33" s="1">
        <v>97687.856275748869</v>
      </c>
      <c r="H33" s="1">
        <v>-204.29627574887127</v>
      </c>
    </row>
    <row r="34" spans="1:8" x14ac:dyDescent="0.3">
      <c r="A34" s="1">
        <v>63408.86</v>
      </c>
      <c r="B34" s="1">
        <v>129219.61</v>
      </c>
      <c r="C34" s="1">
        <v>46085.25</v>
      </c>
      <c r="D34" t="s">
        <v>6</v>
      </c>
      <c r="E34" s="1">
        <v>97427.839999999997</v>
      </c>
      <c r="F34" s="1">
        <v>33</v>
      </c>
      <c r="G34" s="1">
        <v>99001.328985485539</v>
      </c>
      <c r="H34" s="1">
        <v>-1573.4889854855428</v>
      </c>
    </row>
    <row r="35" spans="1:8" x14ac:dyDescent="0.3">
      <c r="A35" s="1">
        <v>55493.95</v>
      </c>
      <c r="B35" s="1">
        <v>103057.49</v>
      </c>
      <c r="C35" s="1">
        <v>214634.81</v>
      </c>
      <c r="D35" t="s">
        <v>7</v>
      </c>
      <c r="E35" s="1">
        <v>96778.92</v>
      </c>
      <c r="F35" s="1">
        <v>34</v>
      </c>
      <c r="G35" s="1">
        <v>97915.007804646128</v>
      </c>
      <c r="H35" s="1">
        <v>-1136.0878046461294</v>
      </c>
    </row>
    <row r="36" spans="1:8" x14ac:dyDescent="0.3">
      <c r="A36" s="1">
        <v>46426.07</v>
      </c>
      <c r="B36" s="1">
        <v>157693.92000000001</v>
      </c>
      <c r="C36" s="1">
        <v>210797.67</v>
      </c>
      <c r="D36" t="s">
        <v>6</v>
      </c>
      <c r="E36" s="1">
        <v>96712.8</v>
      </c>
      <c r="F36" s="1">
        <v>35</v>
      </c>
      <c r="G36" s="1">
        <v>89039.273741164317</v>
      </c>
      <c r="H36" s="1">
        <v>7673.5262588356854</v>
      </c>
    </row>
    <row r="37" spans="1:8" x14ac:dyDescent="0.3">
      <c r="A37" s="1">
        <v>46014.02</v>
      </c>
      <c r="B37" s="1">
        <v>85047.44</v>
      </c>
      <c r="C37" s="1">
        <v>205517.64</v>
      </c>
      <c r="D37" t="s">
        <v>5</v>
      </c>
      <c r="E37" s="1">
        <v>96479.51</v>
      </c>
      <c r="F37" s="1">
        <v>36</v>
      </c>
      <c r="G37" s="1">
        <v>90511.599567526195</v>
      </c>
      <c r="H37" s="1">
        <v>5967.9104324738</v>
      </c>
    </row>
    <row r="38" spans="1:8" x14ac:dyDescent="0.3">
      <c r="A38" s="1">
        <v>28663.759999999998</v>
      </c>
      <c r="B38" s="1">
        <v>127056.21</v>
      </c>
      <c r="C38" s="1">
        <v>201126.82</v>
      </c>
      <c r="D38" t="s">
        <v>7</v>
      </c>
      <c r="E38" s="1">
        <v>90708.19</v>
      </c>
      <c r="F38" s="1">
        <v>37</v>
      </c>
      <c r="G38" s="1">
        <v>75286.174585463974</v>
      </c>
      <c r="H38" s="1">
        <v>15422.015414536028</v>
      </c>
    </row>
    <row r="39" spans="1:8" x14ac:dyDescent="0.3">
      <c r="A39" s="1">
        <v>44069.95</v>
      </c>
      <c r="B39" s="1">
        <v>51283.14</v>
      </c>
      <c r="C39" s="1">
        <v>197029.42</v>
      </c>
      <c r="D39" t="s">
        <v>6</v>
      </c>
      <c r="E39" s="1">
        <v>89949.14</v>
      </c>
      <c r="F39" s="1">
        <v>38</v>
      </c>
      <c r="G39" s="1">
        <v>89619.537707903772</v>
      </c>
      <c r="H39" s="1">
        <v>329.60229209622776</v>
      </c>
    </row>
    <row r="40" spans="1:8" x14ac:dyDescent="0.3">
      <c r="A40" s="1">
        <v>20229.59</v>
      </c>
      <c r="B40" s="1">
        <v>65947.929999999993</v>
      </c>
      <c r="C40" s="1">
        <v>185265.1</v>
      </c>
      <c r="D40" t="s">
        <v>5</v>
      </c>
      <c r="E40" s="1">
        <v>81229.06</v>
      </c>
      <c r="F40" s="1">
        <v>39</v>
      </c>
      <c r="G40" s="1">
        <v>69697.430648041249</v>
      </c>
      <c r="H40" s="1">
        <v>11531.629351958749</v>
      </c>
    </row>
    <row r="41" spans="1:8" x14ac:dyDescent="0.3">
      <c r="A41" s="1">
        <v>38558.51</v>
      </c>
      <c r="B41" s="1">
        <v>82982.09</v>
      </c>
      <c r="C41" s="1">
        <v>174999.3</v>
      </c>
      <c r="D41" t="s">
        <v>6</v>
      </c>
      <c r="E41" s="1">
        <v>81005.759999999995</v>
      </c>
      <c r="F41" s="1">
        <v>40</v>
      </c>
      <c r="G41" s="1">
        <v>83729.01197691953</v>
      </c>
      <c r="H41" s="1">
        <v>-2723.2519769195351</v>
      </c>
    </row>
    <row r="42" spans="1:8" x14ac:dyDescent="0.3">
      <c r="A42" s="1">
        <v>28754.33</v>
      </c>
      <c r="B42" s="1">
        <v>118546.05</v>
      </c>
      <c r="C42" s="1">
        <v>172795.67</v>
      </c>
      <c r="D42" t="s">
        <v>6</v>
      </c>
      <c r="E42" s="1">
        <v>78239.91</v>
      </c>
      <c r="F42" s="1">
        <v>41</v>
      </c>
      <c r="G42" s="1">
        <v>74815.953991047383</v>
      </c>
      <c r="H42" s="1">
        <v>3423.9560089526203</v>
      </c>
    </row>
    <row r="43" spans="1:8" x14ac:dyDescent="0.3">
      <c r="A43" s="1">
        <v>27892.92</v>
      </c>
      <c r="B43" s="1">
        <v>84710.77</v>
      </c>
      <c r="C43" s="1">
        <v>164470.71</v>
      </c>
      <c r="D43" t="s">
        <v>7</v>
      </c>
      <c r="E43" s="1">
        <v>77798.83</v>
      </c>
      <c r="F43" s="1">
        <v>42</v>
      </c>
      <c r="G43" s="1">
        <v>74802.556238662772</v>
      </c>
      <c r="H43" s="1">
        <v>2996.2737613372301</v>
      </c>
    </row>
    <row r="44" spans="1:8" x14ac:dyDescent="0.3">
      <c r="A44" s="1">
        <v>23640.93</v>
      </c>
      <c r="B44" s="1">
        <v>96189.63</v>
      </c>
      <c r="C44" s="1">
        <v>148001.10999999999</v>
      </c>
      <c r="D44" t="s">
        <v>6</v>
      </c>
      <c r="E44" s="1">
        <v>71498.490000000005</v>
      </c>
      <c r="F44" s="1">
        <v>43</v>
      </c>
      <c r="G44" s="1">
        <v>70620.411820560214</v>
      </c>
      <c r="H44" s="1">
        <v>878.07817943979171</v>
      </c>
    </row>
    <row r="45" spans="1:8" x14ac:dyDescent="0.3">
      <c r="A45" s="1">
        <v>15505.73</v>
      </c>
      <c r="B45" s="1">
        <v>127382.3</v>
      </c>
      <c r="C45" s="1">
        <v>35534.17</v>
      </c>
      <c r="D45" t="s">
        <v>5</v>
      </c>
      <c r="E45" s="1">
        <v>69758.98</v>
      </c>
      <c r="F45" s="1">
        <v>44</v>
      </c>
      <c r="G45" s="1">
        <v>60167.039963347939</v>
      </c>
      <c r="H45" s="1">
        <v>9591.9400366520567</v>
      </c>
    </row>
    <row r="46" spans="1:8" x14ac:dyDescent="0.3">
      <c r="A46" s="1">
        <v>22177.74</v>
      </c>
      <c r="B46" s="1">
        <v>154806.14000000001</v>
      </c>
      <c r="C46" s="1">
        <v>28334.720000000001</v>
      </c>
      <c r="D46" t="s">
        <v>6</v>
      </c>
      <c r="E46" s="1">
        <v>65200.33</v>
      </c>
      <c r="F46" s="1">
        <v>45</v>
      </c>
      <c r="G46" s="1">
        <v>64611.354915703319</v>
      </c>
      <c r="H46" s="1">
        <v>588.97508429668233</v>
      </c>
    </row>
    <row r="47" spans="1:8" x14ac:dyDescent="0.3">
      <c r="A47" s="1">
        <v>1000.23</v>
      </c>
      <c r="B47" s="1">
        <v>124153.04</v>
      </c>
      <c r="C47" s="1">
        <v>1903.93</v>
      </c>
      <c r="D47" t="s">
        <v>5</v>
      </c>
      <c r="E47" s="1">
        <v>64926.080000000002</v>
      </c>
      <c r="F47" s="1">
        <v>46</v>
      </c>
      <c r="G47" s="1">
        <v>47650.649686906458</v>
      </c>
      <c r="H47" s="1">
        <v>17275.430313093544</v>
      </c>
    </row>
    <row r="48" spans="1:8" x14ac:dyDescent="0.3">
      <c r="A48" s="1">
        <v>1315.46</v>
      </c>
      <c r="B48" s="1">
        <v>115816.21</v>
      </c>
      <c r="C48" s="1">
        <v>297114.46000000002</v>
      </c>
      <c r="D48" t="s">
        <v>7</v>
      </c>
      <c r="E48" s="1">
        <v>49490.75</v>
      </c>
      <c r="F48" s="1">
        <v>47</v>
      </c>
      <c r="G48" s="1">
        <v>56166.206852607917</v>
      </c>
      <c r="H48" s="1">
        <v>-6675.4568526079165</v>
      </c>
    </row>
    <row r="49" spans="1:8" x14ac:dyDescent="0.3">
      <c r="A49" s="1">
        <v>0</v>
      </c>
      <c r="B49" s="1">
        <v>135426.92000000001</v>
      </c>
      <c r="C49" s="1">
        <v>0</v>
      </c>
      <c r="D49" t="s">
        <v>6</v>
      </c>
      <c r="E49" s="1">
        <v>42559.73</v>
      </c>
      <c r="F49" s="1">
        <v>48</v>
      </c>
      <c r="G49" s="1">
        <v>46490.588983346803</v>
      </c>
      <c r="H49" s="1">
        <v>-3930.8589833467995</v>
      </c>
    </row>
    <row r="50" spans="1:8" x14ac:dyDescent="0.3">
      <c r="A50" s="1">
        <v>542.04999999999995</v>
      </c>
      <c r="B50" s="1">
        <v>51743.15</v>
      </c>
      <c r="C50" s="1">
        <v>0</v>
      </c>
      <c r="D50" t="s">
        <v>5</v>
      </c>
      <c r="E50" s="1">
        <v>35673.410000000003</v>
      </c>
      <c r="F50" s="1">
        <v>49</v>
      </c>
      <c r="G50" s="1">
        <v>49171.388157627247</v>
      </c>
      <c r="H50" s="1">
        <v>-13497.978157627243</v>
      </c>
    </row>
    <row r="51" spans="1:8" ht="15" thickBot="1" x14ac:dyDescent="0.35">
      <c r="A51" s="1">
        <v>0</v>
      </c>
      <c r="B51" s="1">
        <v>116983.8</v>
      </c>
      <c r="C51" s="1">
        <v>45173.06</v>
      </c>
      <c r="D51" t="s">
        <v>6</v>
      </c>
      <c r="E51" s="1">
        <v>14681.4</v>
      </c>
      <c r="F51" s="12">
        <v>50</v>
      </c>
      <c r="G51" s="12">
        <v>48215.134111298677</v>
      </c>
      <c r="H51" s="12">
        <v>-33533.734111298676</v>
      </c>
    </row>
    <row r="55" spans="1:8" ht="31.2" x14ac:dyDescent="0.3">
      <c r="A55" s="6" t="s">
        <v>36</v>
      </c>
      <c r="B55" s="6" t="s">
        <v>1</v>
      </c>
      <c r="C55" s="6" t="s">
        <v>37</v>
      </c>
      <c r="D55" s="7" t="s">
        <v>4</v>
      </c>
    </row>
    <row r="56" spans="1:8" ht="18" x14ac:dyDescent="0.3">
      <c r="A56" s="5">
        <v>21892.92</v>
      </c>
      <c r="B56" s="5">
        <v>81910.77</v>
      </c>
      <c r="C56" s="5">
        <v>164270.70000000001</v>
      </c>
      <c r="D56" s="5">
        <f>(J21*A56)+(J22*B56)+(J23*C56)+J20</f>
        <v>0</v>
      </c>
    </row>
    <row r="57" spans="1:8" ht="18" x14ac:dyDescent="0.3">
      <c r="A57" s="5">
        <v>23940.93</v>
      </c>
      <c r="B57" s="5">
        <v>96489.63</v>
      </c>
      <c r="C57" s="5">
        <v>137001.1</v>
      </c>
      <c r="D57" s="5">
        <f>(J21*A57)+(J22*B57)+(J23*C57)+J20</f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9EB21F-D418-49A8-A01F-650ED82680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 Profit Analysis</vt:lpstr>
      <vt:lpstr>Project Profit Analysis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Baji Shaik</dc:creator>
  <cp:keywords/>
  <dc:description/>
  <cp:lastModifiedBy>Baji Shaik</cp:lastModifiedBy>
  <cp:revision/>
  <dcterms:created xsi:type="dcterms:W3CDTF">2025-03-29T05:35:43Z</dcterms:created>
  <dcterms:modified xsi:type="dcterms:W3CDTF">2025-05-10T17:38:40Z</dcterms:modified>
  <cp:category/>
  <cp:contentStatus/>
</cp:coreProperties>
</file>